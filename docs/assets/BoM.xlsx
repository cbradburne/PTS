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/New CC v2/docs/assets/"/>
    </mc:Choice>
  </mc:AlternateContent>
  <xr:revisionPtr revIDLastSave="0" documentId="13_ncr:1_{F820CDC4-6308-7F4F-B6BD-C7B5B93CA4D6}" xr6:coauthVersionLast="47" xr6:coauthVersionMax="47" xr10:uidLastSave="{00000000-0000-0000-0000-000000000000}"/>
  <bookViews>
    <workbookView xWindow="0" yWindow="800" windowWidth="36000" windowHeight="22580" xr2:uid="{00000000-000D-0000-FFFF-FFFF00000000}"/>
  </bookViews>
  <sheets>
    <sheet name="Parts" sheetId="1" r:id="rId1"/>
    <sheet name="Nuts&amp;Bolts" sheetId="2" r:id="rId2"/>
    <sheet name="Nuts&amp;Bolts-Lis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6" i="3" l="1"/>
  <c r="V35" i="3"/>
  <c r="V33" i="3"/>
  <c r="V32" i="3"/>
  <c r="V31" i="3"/>
  <c r="V30" i="3"/>
  <c r="V29" i="3"/>
  <c r="V28" i="3"/>
  <c r="V26" i="3"/>
  <c r="V25" i="3"/>
  <c r="V23" i="3"/>
  <c r="V21" i="3"/>
  <c r="V20" i="3"/>
  <c r="V19" i="3"/>
  <c r="V18" i="3"/>
  <c r="V17" i="3"/>
  <c r="V16" i="3"/>
  <c r="V14" i="3"/>
  <c r="V12" i="3"/>
  <c r="V10" i="3"/>
  <c r="V9" i="3"/>
  <c r="V8" i="3"/>
  <c r="V7" i="3"/>
  <c r="V6" i="3"/>
  <c r="V5" i="3"/>
  <c r="V4" i="3"/>
  <c r="V3" i="3"/>
</calcChain>
</file>

<file path=xl/sharedStrings.xml><?xml version="1.0" encoding="utf-8"?>
<sst xmlns="http://schemas.openxmlformats.org/spreadsheetml/2006/main" count="338" uniqueCount="142">
  <si>
    <t>Fastener</t>
  </si>
  <si>
    <t>Base + Topper + Ports</t>
  </si>
  <si>
    <t>Inner</t>
  </si>
  <si>
    <t>Upper</t>
  </si>
  <si>
    <t>Camera Focus + Converter</t>
  </si>
  <si>
    <t>Side-Support</t>
  </si>
  <si>
    <t>Side-Motor</t>
  </si>
  <si>
    <t>Camera</t>
  </si>
  <si>
    <t>Tripod Mount</t>
  </si>
  <si>
    <t>Comms Mount</t>
  </si>
  <si>
    <t>Hub Display</t>
  </si>
  <si>
    <t>Rail End-Comms</t>
  </si>
  <si>
    <t>Rail End</t>
  </si>
  <si>
    <t>Rail Bottom</t>
  </si>
  <si>
    <t>Rail Top</t>
  </si>
  <si>
    <t>Rail Side Drag</t>
  </si>
  <si>
    <t>Rail Side Motor</t>
  </si>
  <si>
    <t>Rail Drag Arm</t>
  </si>
  <si>
    <t>Rail Drag Clip</t>
  </si>
  <si>
    <t>Slider Tripod Mount</t>
  </si>
  <si>
    <t>Total</t>
  </si>
  <si>
    <t>Link</t>
  </si>
  <si>
    <t>M3 x 8</t>
  </si>
  <si>
    <t>M3 x 10</t>
  </si>
  <si>
    <t>M3 x 12</t>
  </si>
  <si>
    <t>M3 x 16</t>
  </si>
  <si>
    <t>M3 x 20</t>
  </si>
  <si>
    <t>M3 x 25</t>
  </si>
  <si>
    <t>M3 x 30</t>
  </si>
  <si>
    <t>M3 x 45</t>
  </si>
  <si>
    <t>M2 Counter Sunk x 6</t>
  </si>
  <si>
    <t>M3 Counter Sunk x 10</t>
  </si>
  <si>
    <t>M5 x 20</t>
  </si>
  <si>
    <t>M5 x 25</t>
  </si>
  <si>
    <t>M5 x 30</t>
  </si>
  <si>
    <t>M5 x 35</t>
  </si>
  <si>
    <t>M5 x 45</t>
  </si>
  <si>
    <t>M5 x 55</t>
  </si>
  <si>
    <t>1/4 UNC x 1½"</t>
  </si>
  <si>
    <t>M8 x 25</t>
  </si>
  <si>
    <t>M8 x 45</t>
  </si>
  <si>
    <t>M2.5 Insert</t>
  </si>
  <si>
    <t>M3 Nyloc Nut</t>
  </si>
  <si>
    <t>M3 Insert</t>
  </si>
  <si>
    <t>M5 Nyloc Nut</t>
  </si>
  <si>
    <t>M8 Domed Nut</t>
  </si>
  <si>
    <t>1/4 UNC Insert</t>
  </si>
  <si>
    <t>Amazon</t>
  </si>
  <si>
    <t>M3 Washer</t>
  </si>
  <si>
    <t>M5 Washer</t>
  </si>
  <si>
    <t>Item</t>
  </si>
  <si>
    <t>Qty</t>
  </si>
  <si>
    <t>Buy</t>
  </si>
  <si>
    <t>Circuit</t>
  </si>
  <si>
    <t>Teensy 4.1</t>
  </si>
  <si>
    <t>TMC2209</t>
  </si>
  <si>
    <t>5V regulator</t>
  </si>
  <si>
    <t>1n4007</t>
  </si>
  <si>
    <t>100nf 35v</t>
  </si>
  <si>
    <t>1K ¼W</t>
  </si>
  <si>
    <t>100K ¼W</t>
  </si>
  <si>
    <t>Screw PCB terminals 5.08mm 2pin</t>
  </si>
  <si>
    <t>JST 4pin Plug + Lead + Socket</t>
  </si>
  <si>
    <t>JST 5pin Plug + Lead + Socket</t>
  </si>
  <si>
    <t>JST 2pin Plug + Lead + Socket</t>
  </si>
  <si>
    <t>Header Sockets</t>
  </si>
  <si>
    <t>Pack</t>
  </si>
  <si>
    <t>Header Pins</t>
  </si>
  <si>
    <t>Mount</t>
  </si>
  <si>
    <t>6824ZZ 120x150x16mm Bearing</t>
  </si>
  <si>
    <t>Simply Bearings</t>
  </si>
  <si>
    <t>F688ZZ Flanged Bearing 8 x 16 x 5mm</t>
  </si>
  <si>
    <t>GT2 Pulley - 120 tooth, 8mm bore</t>
  </si>
  <si>
    <t>GT2 Pulley - 36 tooth, 5mm bore</t>
  </si>
  <si>
    <t>GT2 Pulley - 16 tooth, 5mm bore</t>
  </si>
  <si>
    <t>GT2 Belt - 580mm loop, 6mm wide</t>
  </si>
  <si>
    <t>GT2 Belt - 350mm loop, 6mm wide</t>
  </si>
  <si>
    <t>Nema14 Round Pancake Stepper Motor 0.9 deg</t>
  </si>
  <si>
    <t>GX12 2 Pin Aviation Connector &amp; Panel Socket</t>
  </si>
  <si>
    <t>Waveshare ESP32-S3 1.75inch AMOLED Round Touch Display</t>
  </si>
  <si>
    <t>Sticky Pads Heavy Duty 40x40mm</t>
  </si>
  <si>
    <t>2.4GHz Antenna</t>
  </si>
  <si>
    <t>U.FL Mini PCI to SMA Female 20cm Lead</t>
  </si>
  <si>
    <t>Mount - HDMI</t>
  </si>
  <si>
    <t>HDMI Keystone coupler</t>
  </si>
  <si>
    <t>HDMI Cable - 1m</t>
  </si>
  <si>
    <t>Mount - SDI</t>
  </si>
  <si>
    <t>SDI Panel mount coupler</t>
  </si>
  <si>
    <t>HD-SDI Cable - 1m</t>
  </si>
  <si>
    <t>Mount - BMD Converter</t>
  </si>
  <si>
    <t>Blackmagic Design Bi-Directional SDI/HDMI 3G</t>
  </si>
  <si>
    <t>Thomann</t>
  </si>
  <si>
    <t>HD-SDI Cable - 1m, Right angle</t>
  </si>
  <si>
    <t>USB-C Cable - 1 Metre (cut and soldered to JST 2pin)</t>
  </si>
  <si>
    <t>Slider</t>
  </si>
  <si>
    <t>Aluminium Extrusion - 8040 C</t>
  </si>
  <si>
    <t>1000 - 3000mm</t>
  </si>
  <si>
    <t>Ooznest</t>
  </si>
  <si>
    <t>GT2 Pulley - 36 tooth</t>
  </si>
  <si>
    <t>GT2 Belt - 5m</t>
  </si>
  <si>
    <t>Idler - 6mm width, 3mm bore, 13mm diameter</t>
  </si>
  <si>
    <t>V Slot Pulley Wheels 625zz</t>
  </si>
  <si>
    <t>XT60 Plug Connector Female and Male</t>
  </si>
  <si>
    <t>GX12 4 Pin Aviation Connector &amp; Panel Socket</t>
  </si>
  <si>
    <t>Slider - HDMI</t>
  </si>
  <si>
    <t>HDMI Cable, 2m - 4m</t>
  </si>
  <si>
    <t>Slider - SDI</t>
  </si>
  <si>
    <t>HD-SDI Cable, 1m - 4m</t>
  </si>
  <si>
    <t>Slider - BMD Converter</t>
  </si>
  <si>
    <t>HD-SDI Cable, 2m - 4m</t>
  </si>
  <si>
    <t>Hub</t>
  </si>
  <si>
    <t>Seeed Studio XIAO ESP32S3</t>
  </si>
  <si>
    <t>Waveshare ESP32-S3 7inch Capacitive Touch LCD</t>
  </si>
  <si>
    <t>USB-C Screw Hole Panel Mount</t>
  </si>
  <si>
    <t>Misc</t>
  </si>
  <si>
    <t>2 Core Wire - 30m, 20awg</t>
  </si>
  <si>
    <t>4 Core Wire - 10m, 24awg</t>
  </si>
  <si>
    <t>Optional</t>
  </si>
  <si>
    <t>UGREEN Video Capture Card HDMI to USB C 1080P 60FPS Capture (CV Tracking)</t>
  </si>
  <si>
    <t>Sockets</t>
  </si>
  <si>
    <t>motor</t>
  </si>
  <si>
    <t>Pulley</t>
  </si>
  <si>
    <t>M5 P Nyloc Nut</t>
  </si>
  <si>
    <t>1/4” Camera Thumb Screw</t>
  </si>
  <si>
    <t>Bearings</t>
  </si>
  <si>
    <t>4 Optional</t>
  </si>
  <si>
    <t>(drag-side)</t>
  </si>
  <si>
    <t>(drag-wheels)</t>
  </si>
  <si>
    <t>(motor-wheels)</t>
  </si>
  <si>
    <t>(bottom-wheels)</t>
  </si>
  <si>
    <t>(top-wheels)</t>
  </si>
  <si>
    <t>(optional cover)</t>
  </si>
  <si>
    <t>Drag Chain R38 18X25mm 1.5m</t>
  </si>
  <si>
    <t>1-3</t>
  </si>
  <si>
    <t>12V 8A Power Supply</t>
  </si>
  <si>
    <t>Soldering Iron Tips for Threaded Inserts</t>
  </si>
  <si>
    <t>Amazon - As above</t>
  </si>
  <si>
    <t>Nema17 0.9 deg 36Ncm</t>
  </si>
  <si>
    <t>Nema17 1.8 deg 65Ncm</t>
  </si>
  <si>
    <t>1/4" UNC Thumb Screw</t>
  </si>
  <si>
    <t>M2.5 Counter Sunk x 8</t>
  </si>
  <si>
    <t>10ft - 1/2 inch Braided Cable Sleeve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</si>
</sst>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rgb="FF000000"/>
      <name val="Helvetica Neue"/>
      <family val="2"/>
    </font>
    <font>
      <sz val="12"/>
      <color theme="1"/>
      <name val="Helvetica Neue"/>
      <family val="2"/>
    </font>
    <font>
      <sz val="10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b/>
      <sz val="9"/>
      <color rgb="FF1F3864"/>
      <name val="Arial"/>
      <family val="2"/>
    </font>
    <font>
      <b/>
      <sz val="9"/>
      <color rgb="FF1F3864"/>
      <name val="Arial"/>
      <family val="2"/>
    </font>
    <font>
      <sz val="9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b/>
      <sz val="11"/>
      <color rgb="FFFFFFFF"/>
      <name val="Arial"/>
      <family val="2"/>
    </font>
    <font>
      <b/>
      <sz val="10"/>
      <color rgb="FF1F3864"/>
      <name val="Arial"/>
      <family val="2"/>
    </font>
    <font>
      <u/>
      <sz val="10"/>
      <color rgb="FF0563C1"/>
      <name val="Arial"/>
      <family val="2"/>
    </font>
    <font>
      <b/>
      <sz val="10"/>
      <color rgb="FFFFFFFF"/>
      <name val="Arial"/>
      <family val="2"/>
    </font>
    <font>
      <u/>
      <sz val="12"/>
      <color theme="10"/>
      <name val="Aptos Narrow"/>
      <family val="2"/>
      <scheme val="minor"/>
    </font>
    <font>
      <u/>
      <sz val="10"/>
      <color theme="10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2F5597"/>
      </patternFill>
    </fill>
    <fill>
      <patternFill patternType="solid">
        <fgColor rgb="FFEDEDED"/>
      </patternFill>
    </fill>
    <fill>
      <patternFill patternType="solid">
        <fgColor rgb="FF2F5597"/>
      </patternFill>
    </fill>
    <fill>
      <patternFill patternType="solid">
        <fgColor rgb="FFD9E1F2"/>
      </patternFill>
    </fill>
    <fill>
      <patternFill patternType="solid">
        <fgColor rgb="FFEDEDED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54">
    <xf numFmtId="0" fontId="0" fillId="0" borderId="0" xfId="0"/>
    <xf numFmtId="0" fontId="2" fillId="0" borderId="0" xfId="0" applyFont="1"/>
    <xf numFmtId="0" fontId="2" fillId="0" borderId="2" xfId="0" applyFont="1" applyBorder="1"/>
    <xf numFmtId="0" fontId="1" fillId="2" borderId="3" xfId="0" applyFont="1" applyFill="1" applyBorder="1"/>
    <xf numFmtId="0" fontId="0" fillId="2" borderId="0" xfId="0" applyFill="1"/>
    <xf numFmtId="0" fontId="3" fillId="0" borderId="0" xfId="0" applyFont="1"/>
    <xf numFmtId="0" fontId="3" fillId="0" borderId="3" xfId="0" applyFont="1" applyBorder="1"/>
    <xf numFmtId="0" fontId="3" fillId="0" borderId="4" xfId="0" applyFont="1" applyBorder="1"/>
    <xf numFmtId="0" fontId="3" fillId="0" borderId="6" xfId="0" applyFont="1" applyBorder="1"/>
    <xf numFmtId="0" fontId="3" fillId="0" borderId="2" xfId="0" applyFont="1" applyBorder="1"/>
    <xf numFmtId="0" fontId="2" fillId="0" borderId="4" xfId="0" applyFont="1" applyBorder="1"/>
    <xf numFmtId="0" fontId="2" fillId="0" borderId="6" xfId="0" applyFont="1" applyBorder="1"/>
    <xf numFmtId="0" fontId="3" fillId="0" borderId="10" xfId="0" applyFont="1" applyBorder="1"/>
    <xf numFmtId="0" fontId="4" fillId="0" borderId="12" xfId="0" applyFont="1" applyBorder="1" applyAlignment="1">
      <alignment horizontal="center" vertical="center"/>
    </xf>
    <xf numFmtId="0" fontId="8" fillId="0" borderId="0" xfId="0" applyFont="1"/>
    <xf numFmtId="0" fontId="7" fillId="0" borderId="1" xfId="0" applyFont="1" applyBorder="1"/>
    <xf numFmtId="0" fontId="7" fillId="0" borderId="7" xfId="0" applyFont="1" applyBorder="1"/>
    <xf numFmtId="0" fontId="7" fillId="0" borderId="2" xfId="0" applyFont="1" applyBorder="1"/>
    <xf numFmtId="0" fontId="7" fillId="0" borderId="11" xfId="0" applyFont="1" applyBorder="1"/>
    <xf numFmtId="0" fontId="7" fillId="0" borderId="9" xfId="0" applyFont="1" applyBorder="1"/>
    <xf numFmtId="0" fontId="7" fillId="0" borderId="3" xfId="0" applyFont="1" applyBorder="1"/>
    <xf numFmtId="0" fontId="7" fillId="0" borderId="0" xfId="0" applyFont="1"/>
    <xf numFmtId="0" fontId="7" fillId="0" borderId="4" xfId="0" applyFont="1" applyBorder="1"/>
    <xf numFmtId="0" fontId="7" fillId="0" borderId="5" xfId="0" applyFont="1" applyBorder="1"/>
    <xf numFmtId="0" fontId="7" fillId="0" borderId="8" xfId="0" applyFont="1" applyBorder="1"/>
    <xf numFmtId="0" fontId="7" fillId="0" borderId="6" xfId="0" applyFont="1" applyBorder="1"/>
    <xf numFmtId="0" fontId="5" fillId="3" borderId="12" xfId="0" applyFont="1" applyFill="1" applyBorder="1" applyAlignment="1">
      <alignment horizontal="center" wrapText="1"/>
    </xf>
    <xf numFmtId="0" fontId="6" fillId="0" borderId="12" xfId="0" applyFont="1" applyBorder="1" applyAlignment="1">
      <alignment horizontal="left" vertical="center"/>
    </xf>
    <xf numFmtId="0" fontId="6" fillId="4" borderId="12" xfId="0" applyFont="1" applyFill="1" applyBorder="1" applyAlignment="1">
      <alignment horizontal="center" vertical="center"/>
    </xf>
    <xf numFmtId="0" fontId="9" fillId="0" borderId="0" xfId="0" applyFont="1"/>
    <xf numFmtId="0" fontId="10" fillId="0" borderId="3" xfId="0" applyFont="1" applyBorder="1"/>
    <xf numFmtId="0" fontId="10" fillId="0" borderId="1" xfId="0" applyFont="1" applyBorder="1"/>
    <xf numFmtId="0" fontId="10" fillId="0" borderId="5" xfId="0" applyFont="1" applyBorder="1"/>
    <xf numFmtId="0" fontId="11" fillId="3" borderId="12" xfId="0" applyFont="1" applyFill="1" applyBorder="1" applyAlignment="1">
      <alignment horizontal="center" wrapText="1"/>
    </xf>
    <xf numFmtId="0" fontId="12" fillId="0" borderId="12" xfId="0" applyFont="1" applyBorder="1" applyAlignment="1">
      <alignment horizontal="left" vertical="center"/>
    </xf>
    <xf numFmtId="0" fontId="13" fillId="5" borderId="13" xfId="0" applyFont="1" applyFill="1" applyBorder="1" applyAlignment="1">
      <alignment horizontal="left" vertical="center"/>
    </xf>
    <xf numFmtId="0" fontId="13" fillId="5" borderId="13" xfId="0" applyFont="1" applyFill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0" fontId="4" fillId="0" borderId="13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6" fillId="5" borderId="13" xfId="0" applyFont="1" applyFill="1" applyBorder="1" applyAlignment="1">
      <alignment horizontal="center" wrapText="1"/>
    </xf>
    <xf numFmtId="0" fontId="15" fillId="7" borderId="13" xfId="0" applyFont="1" applyFill="1" applyBorder="1" applyAlignment="1">
      <alignment horizontal="center" vertical="center"/>
    </xf>
    <xf numFmtId="49" fontId="4" fillId="0" borderId="13" xfId="0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0" fontId="17" fillId="7" borderId="13" xfId="1" applyFill="1" applyBorder="1" applyAlignment="1">
      <alignment horizontal="center" vertical="center"/>
    </xf>
    <xf numFmtId="0" fontId="17" fillId="0" borderId="13" xfId="1" applyBorder="1" applyAlignment="1">
      <alignment horizontal="center" vertical="center"/>
    </xf>
    <xf numFmtId="0" fontId="6" fillId="0" borderId="13" xfId="0" applyFont="1" applyBorder="1" applyAlignment="1">
      <alignment horizontal="left" vertical="center"/>
    </xf>
    <xf numFmtId="0" fontId="6" fillId="4" borderId="13" xfId="0" applyFont="1" applyFill="1" applyBorder="1" applyAlignment="1">
      <alignment horizontal="center" vertical="center"/>
    </xf>
    <xf numFmtId="0" fontId="19" fillId="0" borderId="3" xfId="0" applyFont="1" applyBorder="1"/>
    <xf numFmtId="0" fontId="19" fillId="0" borderId="0" xfId="0" applyFont="1"/>
    <xf numFmtId="0" fontId="19" fillId="0" borderId="4" xfId="0" applyFont="1" applyBorder="1"/>
    <xf numFmtId="0" fontId="20" fillId="0" borderId="4" xfId="0" applyFont="1" applyBorder="1"/>
    <xf numFmtId="0" fontId="14" fillId="6" borderId="13" xfId="0" applyFont="1" applyFill="1" applyBorder="1" applyAlignment="1">
      <alignment horizontal="left" vertical="center"/>
    </xf>
    <xf numFmtId="0" fontId="0" fillId="6" borderId="13" xfId="0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.uk/dp/B0GZZXN23M/" TargetMode="External"/><Relationship Id="rId18" Type="http://schemas.openxmlformats.org/officeDocument/2006/relationships/hyperlink" Target="https://www.amazon.co.uk/dp/B07SX1N19C/?th=1" TargetMode="External"/><Relationship Id="rId26" Type="http://schemas.openxmlformats.org/officeDocument/2006/relationships/hyperlink" Target="https://www.amazon.co.uk/dp/B0DTHJ1FS2?ref=ppx_yo2ov_dt_b_fed_asin_title" TargetMode="External"/><Relationship Id="rId39" Type="http://schemas.openxmlformats.org/officeDocument/2006/relationships/hyperlink" Target="https://www.amazon.co.uk/dp/B0CD25SZNR?ref_=ppx_hzsearch_conn_dt_b_fed_asin_title_1&amp;th=1" TargetMode="External"/><Relationship Id="rId21" Type="http://schemas.openxmlformats.org/officeDocument/2006/relationships/hyperlink" Target="https://www.amazon.co.uk/dp/B00W98OYE4?ref_=ppx_hzsearch_conn_dt_b_fed_asin_title_2" TargetMode="External"/><Relationship Id="rId34" Type="http://schemas.openxmlformats.org/officeDocument/2006/relationships/hyperlink" Target="https://www.amazon.co.uk/gp/product/B0CZ3TBTJM/" TargetMode="External"/><Relationship Id="rId42" Type="http://schemas.openxmlformats.org/officeDocument/2006/relationships/hyperlink" Target="https://www.amazon.co.uk/dp/B085HF31K7?ref_=ppx_hzsearch_conn_dt_b_fed_asin_title_1" TargetMode="External"/><Relationship Id="rId47" Type="http://schemas.openxmlformats.org/officeDocument/2006/relationships/hyperlink" Target="https://www.amazon.co.uk/dp/B0FSCXSPCB?ref_=ppx_hzsearch_conn_dt_b_fed_asin_title_1&amp;th=1" TargetMode="External"/><Relationship Id="rId50" Type="http://schemas.openxmlformats.org/officeDocument/2006/relationships/hyperlink" Target="https://www.amazon.co.uk/dp/B07VRBYT1N/" TargetMode="External"/><Relationship Id="rId55" Type="http://schemas.openxmlformats.org/officeDocument/2006/relationships/hyperlink" Target="https://www.amazon.co.uk/dp/B075R7QBQD/?th=1" TargetMode="External"/><Relationship Id="rId63" Type="http://schemas.openxmlformats.org/officeDocument/2006/relationships/hyperlink" Target="https://www.amazon.co.uk/dp/B0D6QZSZ4P" TargetMode="External"/><Relationship Id="rId7" Type="http://schemas.openxmlformats.org/officeDocument/2006/relationships/hyperlink" Target="https://www.amazon.co.uk/dp/B0CL6TJZPC/" TargetMode="External"/><Relationship Id="rId2" Type="http://schemas.openxmlformats.org/officeDocument/2006/relationships/hyperlink" Target="https://www.amazon.co.uk/dp/B07WC71M4R?ref=ppx_yo2ov_dt_b_fed_asin_title&amp;th=1" TargetMode="External"/><Relationship Id="rId16" Type="http://schemas.openxmlformats.org/officeDocument/2006/relationships/hyperlink" Target="https://www.amazon.co.uk/dp/B09DS9PJ55?ref_=ppx_hzsearch_conn_dt_b_fed_asin_title_6&amp;th=1" TargetMode="External"/><Relationship Id="rId29" Type="http://schemas.openxmlformats.org/officeDocument/2006/relationships/hyperlink" Target="https://www.amazon.co.uk/dp/B09L4XKVQ5/" TargetMode="External"/><Relationship Id="rId11" Type="http://schemas.openxmlformats.org/officeDocument/2006/relationships/hyperlink" Target="https://www.amazon.co.uk/dp/B0CBWZLB5C?ref_=ppx_hzsearch_conn_dt_b_fed_asin_title_1&amp;th=1" TargetMode="External"/><Relationship Id="rId24" Type="http://schemas.openxmlformats.org/officeDocument/2006/relationships/hyperlink" Target="https://www.amazon.co.uk/dp/B0F7XTJ1ZL?ref=ppx_yo2ov_dt_b_fed_asin_title" TargetMode="External"/><Relationship Id="rId32" Type="http://schemas.openxmlformats.org/officeDocument/2006/relationships/hyperlink" Target="https://www.thomann.co.uk/blackmagic_design_mc_bidirect._sdi_hdmi_3g.htm" TargetMode="External"/><Relationship Id="rId37" Type="http://schemas.openxmlformats.org/officeDocument/2006/relationships/hyperlink" Target="https://www.amazon.co.uk/dp/B07X8776QQ?ref_=ppx_hzsearch_conn_dt_b_fed_asin_title_4" TargetMode="External"/><Relationship Id="rId40" Type="http://schemas.openxmlformats.org/officeDocument/2006/relationships/hyperlink" Target="https://www.amazon.co.uk/dp/B00PNEQUZ2?ref_=ppx_hzsearch_conn_dt_b_fed_asin_title_1" TargetMode="External"/><Relationship Id="rId45" Type="http://schemas.openxmlformats.org/officeDocument/2006/relationships/hyperlink" Target="https://www.amazon.co.uk/dp/B07Z8YS2Z7?ref_=ppx_hzsearch_conn_dt_b_fed_asin_title_1&amp;th=1" TargetMode="External"/><Relationship Id="rId53" Type="http://schemas.openxmlformats.org/officeDocument/2006/relationships/hyperlink" Target="https://www.amazon.co.uk/dp/B0DTHJ1FS2?ref=ppx_yo2ov_dt_b_fed_asin_title" TargetMode="External"/><Relationship Id="rId58" Type="http://schemas.openxmlformats.org/officeDocument/2006/relationships/hyperlink" Target="https://www.amazon.co.uk/dp/B0CFQ2BMPZ?ref=ppx_yo2ov_dt_b_fed_asin_title" TargetMode="External"/><Relationship Id="rId5" Type="http://schemas.openxmlformats.org/officeDocument/2006/relationships/hyperlink" Target="https://www.amazon.co.uk/dp/B08MZ1BSN6?ref_=ppx_hzsearch_conn_dt_b_fed_asin_title_3" TargetMode="External"/><Relationship Id="rId61" Type="http://schemas.openxmlformats.org/officeDocument/2006/relationships/hyperlink" Target="https://www.amazon.co.uk/dp/B0CS662NVK" TargetMode="External"/><Relationship Id="rId19" Type="http://schemas.openxmlformats.org/officeDocument/2006/relationships/hyperlink" Target="https://www.amazon.co.uk/dp/B07RCZPRG9?ref_=ppx_hzsearch_conn_dt_b_fed_asin_title_5" TargetMode="External"/><Relationship Id="rId14" Type="http://schemas.openxmlformats.org/officeDocument/2006/relationships/hyperlink" Target="https://simplybearings.co.uk/shop/p170416/6824ZZ-Budget-Metal-Shielded-Thin-Section-Deep-Groove-Ball-Bearing-120x150x16mm/product_info.html" TargetMode="External"/><Relationship Id="rId22" Type="http://schemas.openxmlformats.org/officeDocument/2006/relationships/hyperlink" Target="https://www.amazon.co.uk/dp/B0B9RVCDTJ?ref_=ppx_hzsearch_conn_dt_b_fed_asin_title_3" TargetMode="External"/><Relationship Id="rId27" Type="http://schemas.openxmlformats.org/officeDocument/2006/relationships/hyperlink" Target="https://www.amazon.co.uk/dp/B0B9RXM7TB?ref=ppx_yo2ov_dt_b_fed_asin_title&amp;th=1" TargetMode="External"/><Relationship Id="rId30" Type="http://schemas.openxmlformats.org/officeDocument/2006/relationships/hyperlink" Target="https://www.amazon.co.uk/dp/B0FSCXSPCB?ref_=ppx_hzsearch_conn_dt_b_fed_asin_title_1&amp;th=1" TargetMode="External"/><Relationship Id="rId35" Type="http://schemas.openxmlformats.org/officeDocument/2006/relationships/hyperlink" Target="https://www.amazon.co.uk/dp/B07PLSDPYN/" TargetMode="External"/><Relationship Id="rId43" Type="http://schemas.openxmlformats.org/officeDocument/2006/relationships/hyperlink" Target="https://www.amazon.co.uk/dp/B0DX5PVGJ9?ref_=ppx_hzsearch_conn_dt_b_fed_asin_title_1&amp;th=1" TargetMode="External"/><Relationship Id="rId48" Type="http://schemas.openxmlformats.org/officeDocument/2006/relationships/hyperlink" Target="https://www.amazon.co.uk/dp/B07VRBYT1N/" TargetMode="External"/><Relationship Id="rId56" Type="http://schemas.openxmlformats.org/officeDocument/2006/relationships/hyperlink" Target="https://www.amazon.co.uk/dp/B0792Y2X4K/" TargetMode="External"/><Relationship Id="rId8" Type="http://schemas.openxmlformats.org/officeDocument/2006/relationships/hyperlink" Target="https://www.amazon.co.uk/sourcing-map-Connectors-Connector-Electronic/dp/B0G8YZSX2B/" TargetMode="External"/><Relationship Id="rId51" Type="http://schemas.openxmlformats.org/officeDocument/2006/relationships/hyperlink" Target="https://www.amazon.co.uk/dp/B0BYSB66S5?ref=ppx_yo2ov_dt_b_fed_asin_title&amp;th=1" TargetMode="External"/><Relationship Id="rId3" Type="http://schemas.openxmlformats.org/officeDocument/2006/relationships/hyperlink" Target="https://www.amazon.co.uk/dp/B09Z2BM94R?ref_=ppx_hzsearch_conn_dt_b_fed_asin_title_1" TargetMode="External"/><Relationship Id="rId12" Type="http://schemas.openxmlformats.org/officeDocument/2006/relationships/hyperlink" Target="https://www.amazon.co.uk/dp/B00R1JDS1Q?ref=ppx_yo2ov_dt_b_fed_asin_title" TargetMode="External"/><Relationship Id="rId17" Type="http://schemas.openxmlformats.org/officeDocument/2006/relationships/hyperlink" Target="https://www.amazon.co.uk/dp/B07X8776QQ?ref_=ppx_hzsearch_conn_dt_b_fed_asin_title_4" TargetMode="External"/><Relationship Id="rId25" Type="http://schemas.openxmlformats.org/officeDocument/2006/relationships/hyperlink" Target="https://www.amazon.co.uk/dp/B0GQRJJPFN?ref=ppx_yo2ov_dt_b_fed_asin_title&amp;th=1" TargetMode="External"/><Relationship Id="rId33" Type="http://schemas.openxmlformats.org/officeDocument/2006/relationships/hyperlink" Target="https://www.amazon.co.uk/dp/B0FSCXSPCB?ref_=ppx_hzsearch_conn_dt_b_fed_asin_title_1&amp;th=1" TargetMode="External"/><Relationship Id="rId38" Type="http://schemas.openxmlformats.org/officeDocument/2006/relationships/hyperlink" Target="https://www.amazon.co.uk/dp/B08SJ5X2HZ?ref_=ppx_hzsearch_conn_dt_b_fed_asin_title_9&amp;th=1" TargetMode="External"/><Relationship Id="rId46" Type="http://schemas.openxmlformats.org/officeDocument/2006/relationships/hyperlink" Target="https://www.amazon.co.uk/dp/B09ZRTQXXT/?th=1" TargetMode="External"/><Relationship Id="rId59" Type="http://schemas.openxmlformats.org/officeDocument/2006/relationships/hyperlink" Target="https://www.amazon.co.uk/dp/B07MMCWWHC/" TargetMode="External"/><Relationship Id="rId20" Type="http://schemas.openxmlformats.org/officeDocument/2006/relationships/hyperlink" Target="https://www.amazon.co.uk/sourcing-map-Timing-Printing-Closed/dp/B0GVKNPKQV/?th=1" TargetMode="External"/><Relationship Id="rId41" Type="http://schemas.openxmlformats.org/officeDocument/2006/relationships/hyperlink" Target="https://www.amazon.co.uk/sourcing-map-Printer-Rollers-High-Speed/dp/B0DNCP6TRB/" TargetMode="External"/><Relationship Id="rId54" Type="http://schemas.openxmlformats.org/officeDocument/2006/relationships/hyperlink" Target="https://www.amazon.co.uk/dp/B0B9RXM7TB?ref=ppx_yo2ov_dt_b_fed_asin_title&amp;th=1" TargetMode="External"/><Relationship Id="rId62" Type="http://schemas.openxmlformats.org/officeDocument/2006/relationships/hyperlink" Target="https://www.amazon.co.uk/gp/product/B0B5KL92RH/" TargetMode="External"/><Relationship Id="rId1" Type="http://schemas.openxmlformats.org/officeDocument/2006/relationships/hyperlink" Target="https://www.amazon.co.uk/dp/B0BCTSKYQZ?ref=ppx_yo2ov_dt_b_fed_asin_title" TargetMode="External"/><Relationship Id="rId6" Type="http://schemas.openxmlformats.org/officeDocument/2006/relationships/hyperlink" Target="https://www.amazon.co.uk/dp/B0CL6XM7RD/" TargetMode="External"/><Relationship Id="rId15" Type="http://schemas.openxmlformats.org/officeDocument/2006/relationships/hyperlink" Target="https://www.amazon.co.uk/dp/B0CRLSHL1N?ref_=ppx_hzsearch_conn_dt_b_fed_asin_title_1&amp;th=1" TargetMode="External"/><Relationship Id="rId23" Type="http://schemas.openxmlformats.org/officeDocument/2006/relationships/hyperlink" Target="https://www.amazon.co.uk/dp/B0DX5PVGJ9?ref_=ppx_hzsearch_conn_dt_b_fed_asin_title_1&amp;th=1" TargetMode="External"/><Relationship Id="rId28" Type="http://schemas.openxmlformats.org/officeDocument/2006/relationships/hyperlink" Target="https://www.amazon.co.uk/dp/B07Z8YS2Z7?ref_=ppx_hzsearch_conn_dt_b_fed_asin_title_1&amp;th=1" TargetMode="External"/><Relationship Id="rId36" Type="http://schemas.openxmlformats.org/officeDocument/2006/relationships/hyperlink" Target="https://ooznest.co.uk/product/40x80mm-c-beam-t-v-slot-aluminium-extrusion-profile-silver-cut-to-size/?mtke=11" TargetMode="External"/><Relationship Id="rId49" Type="http://schemas.openxmlformats.org/officeDocument/2006/relationships/hyperlink" Target="https://www.amazon.co.uk/dp/B0FSCXSPCB?ref_=ppx_hzsearch_conn_dt_b_fed_asin_title_1&amp;th=1" TargetMode="External"/><Relationship Id="rId57" Type="http://schemas.openxmlformats.org/officeDocument/2006/relationships/hyperlink" Target="https://www.amazon.co.uk/dp/B0CP6XLLX8/" TargetMode="External"/><Relationship Id="rId10" Type="http://schemas.openxmlformats.org/officeDocument/2006/relationships/hyperlink" Target="https://www.amazon.co.uk/dp/B0CBWZBB63?ref_=ppx_hzsearch_conn_dt_b_fed_asin_title_3&amp;th=1" TargetMode="External"/><Relationship Id="rId31" Type="http://schemas.openxmlformats.org/officeDocument/2006/relationships/hyperlink" Target="https://www.amazon.co.uk/dp/B07Y9GPG8X/" TargetMode="External"/><Relationship Id="rId44" Type="http://schemas.openxmlformats.org/officeDocument/2006/relationships/hyperlink" Target="https://www.amazon.co.uk/dp/B0DX6CD9LN?ref_=ppx_hzsearch_conn_dt_b_fed_asin_title_1&amp;th=1" TargetMode="External"/><Relationship Id="rId52" Type="http://schemas.openxmlformats.org/officeDocument/2006/relationships/hyperlink" Target="https://www.amazon.co.uk/dp/B0D2NMCY7K/" TargetMode="External"/><Relationship Id="rId60" Type="http://schemas.openxmlformats.org/officeDocument/2006/relationships/hyperlink" Target="https://www.amazon.co.uk/gp/product/B0748CQ4RK/" TargetMode="External"/><Relationship Id="rId4" Type="http://schemas.openxmlformats.org/officeDocument/2006/relationships/hyperlink" Target="https://www.amazon.co.uk/sourcing-map-Rectifier-Electronic-Industrial/dp/B0FZFSXY79/" TargetMode="External"/><Relationship Id="rId9" Type="http://schemas.openxmlformats.org/officeDocument/2006/relationships/hyperlink" Target="https://www.amazon.co.uk/dp/B09LCRCTQG?ref_=ppx_hzsearch_conn_dt_b_fed_asin_title_5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.uk/gp/product/B0D6B4PHN3/" TargetMode="External"/><Relationship Id="rId13" Type="http://schemas.openxmlformats.org/officeDocument/2006/relationships/hyperlink" Target="https://www.amazon.co.uk/gp/product/B0DZ1P596F/" TargetMode="External"/><Relationship Id="rId18" Type="http://schemas.openxmlformats.org/officeDocument/2006/relationships/hyperlink" Target="https://www.amazon.co.uk/dp/B0FBWVXTDG/" TargetMode="External"/><Relationship Id="rId26" Type="http://schemas.openxmlformats.org/officeDocument/2006/relationships/hyperlink" Target="https://www.amazon.co.uk/gp/product/B0DYP14R1H/" TargetMode="External"/><Relationship Id="rId3" Type="http://schemas.openxmlformats.org/officeDocument/2006/relationships/hyperlink" Target="https://www.amazon.co.uk/gp/product/B0D6B63D9M/" TargetMode="External"/><Relationship Id="rId21" Type="http://schemas.openxmlformats.org/officeDocument/2006/relationships/hyperlink" Target="https://www.amazon.co.uk/dp/B0FC5N6KCW/" TargetMode="External"/><Relationship Id="rId7" Type="http://schemas.openxmlformats.org/officeDocument/2006/relationships/hyperlink" Target="https://www.amazon.co.uk/gp/product/B0D6B58X5N/" TargetMode="External"/><Relationship Id="rId12" Type="http://schemas.openxmlformats.org/officeDocument/2006/relationships/hyperlink" Target="https://www.amazon.co.uk/gp/product/B0DZ1PVK8Q/" TargetMode="External"/><Relationship Id="rId17" Type="http://schemas.openxmlformats.org/officeDocument/2006/relationships/hyperlink" Target="https://www.amazon.co.uk/dp/B0BFCRFRRF/" TargetMode="External"/><Relationship Id="rId25" Type="http://schemas.openxmlformats.org/officeDocument/2006/relationships/hyperlink" Target="https://www.amazon.co.uk/dp/B0BR4WQP4R" TargetMode="External"/><Relationship Id="rId2" Type="http://schemas.openxmlformats.org/officeDocument/2006/relationships/hyperlink" Target="https://www.amazon.co.uk/dp/B07KM41WMS" TargetMode="External"/><Relationship Id="rId16" Type="http://schemas.openxmlformats.org/officeDocument/2006/relationships/hyperlink" Target="https://www.amazon.co.uk/dp/B0F638VSQD/" TargetMode="External"/><Relationship Id="rId20" Type="http://schemas.openxmlformats.org/officeDocument/2006/relationships/hyperlink" Target="https://www.amazon.co.uk/dp/B0CS662NVK" TargetMode="External"/><Relationship Id="rId1" Type="http://schemas.openxmlformats.org/officeDocument/2006/relationships/hyperlink" Target="https://www.amazon.co.uk/dp/B0B1F7NMJ5/" TargetMode="External"/><Relationship Id="rId6" Type="http://schemas.openxmlformats.org/officeDocument/2006/relationships/hyperlink" Target="https://www.amazon.co.uk/gp/product/B0D6B631ZL/" TargetMode="External"/><Relationship Id="rId11" Type="http://schemas.openxmlformats.org/officeDocument/2006/relationships/hyperlink" Target="https://www.amazon.co.uk/gp/product/B0DZ1NR6NB/" TargetMode="External"/><Relationship Id="rId24" Type="http://schemas.openxmlformats.org/officeDocument/2006/relationships/hyperlink" Target="https://www.amazon.co.uk/dp/B0BR4WQP4R" TargetMode="External"/><Relationship Id="rId5" Type="http://schemas.openxmlformats.org/officeDocument/2006/relationships/hyperlink" Target="https://www.amazon.co.uk/gp/product/B0D6B4VQQY/" TargetMode="External"/><Relationship Id="rId15" Type="http://schemas.openxmlformats.org/officeDocument/2006/relationships/hyperlink" Target="https://www.amazon.co.uk/gp/product/B0DZ1MY37R/" TargetMode="External"/><Relationship Id="rId23" Type="http://schemas.openxmlformats.org/officeDocument/2006/relationships/hyperlink" Target="https://www.amazon.co.uk/dp/B09XJGZVPM" TargetMode="External"/><Relationship Id="rId28" Type="http://schemas.openxmlformats.org/officeDocument/2006/relationships/hyperlink" Target="https://www.amazon.co.uk/dp/B0BR4WQP4R" TargetMode="External"/><Relationship Id="rId10" Type="http://schemas.openxmlformats.org/officeDocument/2006/relationships/hyperlink" Target="https://www.amazon.co.uk/gp/product/B0DZ1PLWD4/" TargetMode="External"/><Relationship Id="rId19" Type="http://schemas.openxmlformats.org/officeDocument/2006/relationships/hyperlink" Target="https://www.amazon.co.uk/dp/B09THKYY5R/" TargetMode="External"/><Relationship Id="rId4" Type="http://schemas.openxmlformats.org/officeDocument/2006/relationships/hyperlink" Target="https://www.amazon.co.uk/gp/product/B0D6B553V8/" TargetMode="External"/><Relationship Id="rId9" Type="http://schemas.openxmlformats.org/officeDocument/2006/relationships/hyperlink" Target="https://www.amazon.co.uk/gp/product/B0DZ1M6HSH/" TargetMode="External"/><Relationship Id="rId14" Type="http://schemas.openxmlformats.org/officeDocument/2006/relationships/hyperlink" Target="https://www.amazon.co.uk/gp/product/B0DZ1MXJBG/" TargetMode="External"/><Relationship Id="rId22" Type="http://schemas.openxmlformats.org/officeDocument/2006/relationships/hyperlink" Target="https://www.amazon.co.uk/dp/B09XJJTD1T" TargetMode="External"/><Relationship Id="rId27" Type="http://schemas.openxmlformats.org/officeDocument/2006/relationships/hyperlink" Target="https://www.amazon.co.uk/dp/B0BS3LH9K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7"/>
  <sheetViews>
    <sheetView showGridLines="0" tabSelected="1" zoomScale="211" workbookViewId="0">
      <pane ySplit="1" topLeftCell="A67" activePane="bottomLeft" state="frozen"/>
      <selection pane="bottomLeft" activeCell="A85" sqref="A85"/>
    </sheetView>
  </sheetViews>
  <sheetFormatPr baseColWidth="10" defaultColWidth="8.83203125" defaultRowHeight="16" x14ac:dyDescent="0.2"/>
  <cols>
    <col min="1" max="1" width="66.33203125" customWidth="1"/>
    <col min="2" max="2" width="8" customWidth="1"/>
    <col min="3" max="3" width="16" customWidth="1"/>
  </cols>
  <sheetData>
    <row r="1" spans="1:3" x14ac:dyDescent="0.2">
      <c r="A1" s="35" t="s">
        <v>50</v>
      </c>
      <c r="B1" s="36" t="s">
        <v>51</v>
      </c>
      <c r="C1" s="36" t="s">
        <v>52</v>
      </c>
    </row>
    <row r="2" spans="1:3" x14ac:dyDescent="0.2">
      <c r="A2" s="52" t="s">
        <v>53</v>
      </c>
      <c r="B2" s="53"/>
      <c r="C2" s="53"/>
    </row>
    <row r="3" spans="1:3" x14ac:dyDescent="0.2">
      <c r="A3" s="37" t="s">
        <v>54</v>
      </c>
      <c r="B3" s="38">
        <v>1</v>
      </c>
      <c r="C3" s="39" t="s">
        <v>47</v>
      </c>
    </row>
    <row r="4" spans="1:3" x14ac:dyDescent="0.2">
      <c r="A4" s="37" t="s">
        <v>55</v>
      </c>
      <c r="B4" s="38">
        <v>4</v>
      </c>
      <c r="C4" s="39" t="s">
        <v>47</v>
      </c>
    </row>
    <row r="5" spans="1:3" x14ac:dyDescent="0.2">
      <c r="A5" s="37" t="s">
        <v>56</v>
      </c>
      <c r="B5" s="38">
        <v>1</v>
      </c>
      <c r="C5" s="39" t="s">
        <v>47</v>
      </c>
    </row>
    <row r="6" spans="1:3" x14ac:dyDescent="0.2">
      <c r="A6" s="37" t="s">
        <v>57</v>
      </c>
      <c r="B6" s="38">
        <v>2</v>
      </c>
      <c r="C6" s="39" t="s">
        <v>47</v>
      </c>
    </row>
    <row r="7" spans="1:3" x14ac:dyDescent="0.2">
      <c r="A7" s="37" t="s">
        <v>58</v>
      </c>
      <c r="B7" s="38">
        <v>6</v>
      </c>
      <c r="C7" s="39" t="s">
        <v>47</v>
      </c>
    </row>
    <row r="8" spans="1:3" x14ac:dyDescent="0.2">
      <c r="A8" s="37" t="s">
        <v>59</v>
      </c>
      <c r="B8" s="38">
        <v>4</v>
      </c>
      <c r="C8" s="39" t="s">
        <v>47</v>
      </c>
    </row>
    <row r="9" spans="1:3" x14ac:dyDescent="0.2">
      <c r="A9" s="37" t="s">
        <v>60</v>
      </c>
      <c r="B9" s="38">
        <v>1</v>
      </c>
      <c r="C9" s="39" t="s">
        <v>47</v>
      </c>
    </row>
    <row r="10" spans="1:3" x14ac:dyDescent="0.2">
      <c r="A10" s="37" t="s">
        <v>61</v>
      </c>
      <c r="B10" s="38">
        <v>1</v>
      </c>
      <c r="C10" s="39" t="s">
        <v>47</v>
      </c>
    </row>
    <row r="11" spans="1:3" x14ac:dyDescent="0.2">
      <c r="A11" s="37" t="s">
        <v>62</v>
      </c>
      <c r="B11" s="38">
        <v>6</v>
      </c>
      <c r="C11" s="39" t="s">
        <v>47</v>
      </c>
    </row>
    <row r="12" spans="1:3" x14ac:dyDescent="0.2">
      <c r="A12" s="37" t="s">
        <v>63</v>
      </c>
      <c r="B12" s="38">
        <v>1</v>
      </c>
      <c r="C12" s="39" t="s">
        <v>47</v>
      </c>
    </row>
    <row r="13" spans="1:3" x14ac:dyDescent="0.2">
      <c r="A13" s="37" t="s">
        <v>64</v>
      </c>
      <c r="B13" s="38">
        <v>2</v>
      </c>
      <c r="C13" s="39" t="s">
        <v>47</v>
      </c>
    </row>
    <row r="14" spans="1:3" x14ac:dyDescent="0.2">
      <c r="A14" s="37" t="s">
        <v>65</v>
      </c>
      <c r="B14" s="38" t="s">
        <v>66</v>
      </c>
      <c r="C14" s="39" t="s">
        <v>47</v>
      </c>
    </row>
    <row r="15" spans="1:3" x14ac:dyDescent="0.2">
      <c r="A15" s="37" t="s">
        <v>67</v>
      </c>
      <c r="B15" s="38" t="s">
        <v>66</v>
      </c>
      <c r="C15" s="39" t="s">
        <v>47</v>
      </c>
    </row>
    <row r="16" spans="1:3" x14ac:dyDescent="0.2">
      <c r="A16" s="52" t="s">
        <v>68</v>
      </c>
      <c r="B16" s="53"/>
      <c r="C16" s="53"/>
    </row>
    <row r="17" spans="1:3" x14ac:dyDescent="0.2">
      <c r="A17" s="37" t="s">
        <v>69</v>
      </c>
      <c r="B17" s="38">
        <v>1</v>
      </c>
      <c r="C17" s="39" t="s">
        <v>70</v>
      </c>
    </row>
    <row r="18" spans="1:3" x14ac:dyDescent="0.2">
      <c r="A18" s="37" t="s">
        <v>71</v>
      </c>
      <c r="B18" s="38">
        <v>4</v>
      </c>
      <c r="C18" s="39" t="s">
        <v>47</v>
      </c>
    </row>
    <row r="19" spans="1:3" x14ac:dyDescent="0.2">
      <c r="A19" s="37" t="s">
        <v>72</v>
      </c>
      <c r="B19" s="38">
        <v>1</v>
      </c>
      <c r="C19" s="39" t="s">
        <v>47</v>
      </c>
    </row>
    <row r="20" spans="1:3" x14ac:dyDescent="0.2">
      <c r="A20" s="37" t="s">
        <v>73</v>
      </c>
      <c r="B20" s="38">
        <v>1</v>
      </c>
      <c r="C20" s="39" t="s">
        <v>47</v>
      </c>
    </row>
    <row r="21" spans="1:3" x14ac:dyDescent="0.2">
      <c r="A21" s="37" t="s">
        <v>74</v>
      </c>
      <c r="B21" s="38">
        <v>1</v>
      </c>
      <c r="C21" s="39" t="s">
        <v>47</v>
      </c>
    </row>
    <row r="22" spans="1:3" x14ac:dyDescent="0.2">
      <c r="A22" s="37" t="s">
        <v>75</v>
      </c>
      <c r="B22" s="38">
        <v>1</v>
      </c>
      <c r="C22" s="39" t="s">
        <v>47</v>
      </c>
    </row>
    <row r="23" spans="1:3" x14ac:dyDescent="0.2">
      <c r="A23" s="37" t="s">
        <v>76</v>
      </c>
      <c r="B23" s="38">
        <v>1</v>
      </c>
      <c r="C23" s="39" t="s">
        <v>47</v>
      </c>
    </row>
    <row r="24" spans="1:3" x14ac:dyDescent="0.2">
      <c r="A24" s="37" t="s">
        <v>137</v>
      </c>
      <c r="B24" s="38">
        <v>2</v>
      </c>
      <c r="C24" s="39" t="s">
        <v>47</v>
      </c>
    </row>
    <row r="25" spans="1:3" x14ac:dyDescent="0.2">
      <c r="A25" s="37" t="s">
        <v>77</v>
      </c>
      <c r="B25" s="38">
        <v>1</v>
      </c>
      <c r="C25" s="39" t="s">
        <v>47</v>
      </c>
    </row>
    <row r="26" spans="1:3" x14ac:dyDescent="0.2">
      <c r="A26" s="37" t="s">
        <v>78</v>
      </c>
      <c r="B26" s="38">
        <v>1</v>
      </c>
      <c r="C26" s="39" t="s">
        <v>47</v>
      </c>
    </row>
    <row r="27" spans="1:3" x14ac:dyDescent="0.2">
      <c r="A27" s="37" t="s">
        <v>79</v>
      </c>
      <c r="B27" s="38">
        <v>1</v>
      </c>
      <c r="C27" s="39" t="s">
        <v>47</v>
      </c>
    </row>
    <row r="28" spans="1:3" x14ac:dyDescent="0.2">
      <c r="A28" s="37" t="s">
        <v>80</v>
      </c>
      <c r="B28" s="38">
        <v>1</v>
      </c>
      <c r="C28" s="39" t="s">
        <v>47</v>
      </c>
    </row>
    <row r="29" spans="1:3" x14ac:dyDescent="0.2">
      <c r="A29" s="37" t="s">
        <v>81</v>
      </c>
      <c r="B29" s="38">
        <v>1</v>
      </c>
      <c r="C29" s="39" t="s">
        <v>47</v>
      </c>
    </row>
    <row r="30" spans="1:3" x14ac:dyDescent="0.2">
      <c r="A30" s="37" t="s">
        <v>82</v>
      </c>
      <c r="B30" s="38">
        <v>1</v>
      </c>
      <c r="C30" s="39" t="s">
        <v>47</v>
      </c>
    </row>
    <row r="31" spans="1:3" x14ac:dyDescent="0.2">
      <c r="A31" s="37" t="s">
        <v>139</v>
      </c>
      <c r="B31" s="38">
        <v>1</v>
      </c>
      <c r="C31" s="45" t="s">
        <v>47</v>
      </c>
    </row>
    <row r="32" spans="1:3" x14ac:dyDescent="0.2">
      <c r="A32" s="37" t="s">
        <v>134</v>
      </c>
      <c r="B32" s="38">
        <v>1</v>
      </c>
      <c r="C32" s="43" t="s">
        <v>47</v>
      </c>
    </row>
    <row r="33" spans="1:3" x14ac:dyDescent="0.2">
      <c r="A33" s="52" t="s">
        <v>83</v>
      </c>
      <c r="B33" s="53"/>
      <c r="C33" s="53"/>
    </row>
    <row r="34" spans="1:3" x14ac:dyDescent="0.2">
      <c r="A34" s="37" t="s">
        <v>84</v>
      </c>
      <c r="B34" s="38">
        <v>1</v>
      </c>
      <c r="C34" s="39" t="s">
        <v>47</v>
      </c>
    </row>
    <row r="35" spans="1:3" x14ac:dyDescent="0.2">
      <c r="A35" s="37" t="s">
        <v>85</v>
      </c>
      <c r="B35" s="38">
        <v>1</v>
      </c>
      <c r="C35" s="39" t="s">
        <v>47</v>
      </c>
    </row>
    <row r="36" spans="1:3" x14ac:dyDescent="0.2">
      <c r="A36" s="52" t="s">
        <v>86</v>
      </c>
      <c r="B36" s="53"/>
      <c r="C36" s="53"/>
    </row>
    <row r="37" spans="1:3" x14ac:dyDescent="0.2">
      <c r="A37" s="37" t="s">
        <v>87</v>
      </c>
      <c r="B37" s="38">
        <v>1</v>
      </c>
      <c r="C37" s="39" t="s">
        <v>47</v>
      </c>
    </row>
    <row r="38" spans="1:3" x14ac:dyDescent="0.2">
      <c r="A38" s="37" t="s">
        <v>88</v>
      </c>
      <c r="B38" s="38">
        <v>1</v>
      </c>
      <c r="C38" s="39" t="s">
        <v>47</v>
      </c>
    </row>
    <row r="39" spans="1:3" x14ac:dyDescent="0.2">
      <c r="A39" s="52" t="s">
        <v>89</v>
      </c>
      <c r="B39" s="53"/>
      <c r="C39" s="53"/>
    </row>
    <row r="40" spans="1:3" x14ac:dyDescent="0.2">
      <c r="A40" s="37" t="s">
        <v>90</v>
      </c>
      <c r="B40" s="38">
        <v>1</v>
      </c>
      <c r="C40" s="39" t="s">
        <v>91</v>
      </c>
    </row>
    <row r="41" spans="1:3" x14ac:dyDescent="0.2">
      <c r="A41" s="37" t="s">
        <v>87</v>
      </c>
      <c r="B41" s="38">
        <v>2</v>
      </c>
      <c r="C41" s="39" t="s">
        <v>47</v>
      </c>
    </row>
    <row r="42" spans="1:3" x14ac:dyDescent="0.2">
      <c r="A42" s="37" t="s">
        <v>92</v>
      </c>
      <c r="B42" s="38">
        <v>2</v>
      </c>
      <c r="C42" s="39" t="s">
        <v>47</v>
      </c>
    </row>
    <row r="43" spans="1:3" x14ac:dyDescent="0.2">
      <c r="A43" s="37" t="s">
        <v>93</v>
      </c>
      <c r="B43" s="38">
        <v>1</v>
      </c>
      <c r="C43" s="39" t="s">
        <v>47</v>
      </c>
    </row>
    <row r="44" spans="1:3" x14ac:dyDescent="0.2">
      <c r="A44" s="52" t="s">
        <v>94</v>
      </c>
      <c r="B44" s="53"/>
      <c r="C44" s="53"/>
    </row>
    <row r="45" spans="1:3" x14ac:dyDescent="0.2">
      <c r="A45" s="37" t="s">
        <v>95</v>
      </c>
      <c r="B45" s="38" t="s">
        <v>96</v>
      </c>
      <c r="C45" s="39" t="s">
        <v>97</v>
      </c>
    </row>
    <row r="46" spans="1:3" x14ac:dyDescent="0.2">
      <c r="A46" s="37" t="s">
        <v>98</v>
      </c>
      <c r="B46" s="38">
        <v>1</v>
      </c>
      <c r="C46" s="39" t="s">
        <v>47</v>
      </c>
    </row>
    <row r="47" spans="1:3" x14ac:dyDescent="0.2">
      <c r="A47" s="37" t="s">
        <v>99</v>
      </c>
      <c r="B47" s="38">
        <v>1</v>
      </c>
      <c r="C47" s="39" t="s">
        <v>47</v>
      </c>
    </row>
    <row r="48" spans="1:3" x14ac:dyDescent="0.2">
      <c r="A48" s="37" t="s">
        <v>100</v>
      </c>
      <c r="B48" s="38">
        <v>2</v>
      </c>
      <c r="C48" s="39" t="s">
        <v>47</v>
      </c>
    </row>
    <row r="49" spans="1:3" x14ac:dyDescent="0.2">
      <c r="A49" s="37" t="s">
        <v>138</v>
      </c>
      <c r="B49" s="38">
        <v>1</v>
      </c>
      <c r="C49" s="39" t="s">
        <v>47</v>
      </c>
    </row>
    <row r="50" spans="1:3" x14ac:dyDescent="0.2">
      <c r="A50" s="37" t="s">
        <v>101</v>
      </c>
      <c r="B50" s="38">
        <v>16</v>
      </c>
      <c r="C50" s="39" t="s">
        <v>47</v>
      </c>
    </row>
    <row r="51" spans="1:3" x14ac:dyDescent="0.2">
      <c r="A51" s="37" t="s">
        <v>102</v>
      </c>
      <c r="B51" s="38">
        <v>1</v>
      </c>
      <c r="C51" s="39" t="s">
        <v>47</v>
      </c>
    </row>
    <row r="52" spans="1:3" x14ac:dyDescent="0.2">
      <c r="A52" s="37" t="s">
        <v>78</v>
      </c>
      <c r="B52" s="38">
        <v>1</v>
      </c>
      <c r="C52" s="39" t="s">
        <v>47</v>
      </c>
    </row>
    <row r="53" spans="1:3" x14ac:dyDescent="0.2">
      <c r="A53" s="37" t="s">
        <v>103</v>
      </c>
      <c r="B53" s="38">
        <v>1</v>
      </c>
      <c r="C53" s="39" t="s">
        <v>47</v>
      </c>
    </row>
    <row r="54" spans="1:3" x14ac:dyDescent="0.2">
      <c r="A54" s="37" t="s">
        <v>132</v>
      </c>
      <c r="B54" s="42" t="s">
        <v>133</v>
      </c>
      <c r="C54" s="43" t="s">
        <v>47</v>
      </c>
    </row>
    <row r="55" spans="1:3" x14ac:dyDescent="0.2">
      <c r="A55" s="52" t="s">
        <v>104</v>
      </c>
      <c r="B55" s="53"/>
      <c r="C55" s="53"/>
    </row>
    <row r="56" spans="1:3" x14ac:dyDescent="0.2">
      <c r="A56" s="37" t="s">
        <v>84</v>
      </c>
      <c r="B56" s="38">
        <v>1</v>
      </c>
      <c r="C56" s="39" t="s">
        <v>47</v>
      </c>
    </row>
    <row r="57" spans="1:3" x14ac:dyDescent="0.2">
      <c r="A57" s="37" t="s">
        <v>105</v>
      </c>
      <c r="B57" s="38">
        <v>1</v>
      </c>
      <c r="C57" s="39" t="s">
        <v>47</v>
      </c>
    </row>
    <row r="58" spans="1:3" x14ac:dyDescent="0.2">
      <c r="A58" s="52" t="s">
        <v>106</v>
      </c>
      <c r="B58" s="53"/>
      <c r="C58" s="53"/>
    </row>
    <row r="59" spans="1:3" x14ac:dyDescent="0.2">
      <c r="A59" s="37" t="s">
        <v>87</v>
      </c>
      <c r="B59" s="38">
        <v>1</v>
      </c>
      <c r="C59" s="39" t="s">
        <v>47</v>
      </c>
    </row>
    <row r="60" spans="1:3" x14ac:dyDescent="0.2">
      <c r="A60" s="37" t="s">
        <v>107</v>
      </c>
      <c r="B60" s="38">
        <v>1</v>
      </c>
      <c r="C60" s="39" t="s">
        <v>47</v>
      </c>
    </row>
    <row r="61" spans="1:3" x14ac:dyDescent="0.2">
      <c r="A61" s="52" t="s">
        <v>108</v>
      </c>
      <c r="B61" s="53"/>
      <c r="C61" s="53"/>
    </row>
    <row r="62" spans="1:3" x14ac:dyDescent="0.2">
      <c r="A62" s="37" t="s">
        <v>87</v>
      </c>
      <c r="B62" s="38">
        <v>2</v>
      </c>
      <c r="C62" s="39" t="s">
        <v>47</v>
      </c>
    </row>
    <row r="63" spans="1:3" x14ac:dyDescent="0.2">
      <c r="A63" s="37" t="s">
        <v>109</v>
      </c>
      <c r="B63" s="38">
        <v>2</v>
      </c>
      <c r="C63" s="39" t="s">
        <v>47</v>
      </c>
    </row>
    <row r="64" spans="1:3" x14ac:dyDescent="0.2">
      <c r="A64" s="52" t="s">
        <v>110</v>
      </c>
      <c r="B64" s="53"/>
      <c r="C64" s="53"/>
    </row>
    <row r="65" spans="1:3" x14ac:dyDescent="0.2">
      <c r="A65" s="37" t="s">
        <v>111</v>
      </c>
      <c r="B65" s="38">
        <v>1</v>
      </c>
      <c r="C65" s="39" t="s">
        <v>47</v>
      </c>
    </row>
    <row r="66" spans="1:3" x14ac:dyDescent="0.2">
      <c r="A66" s="52" t="s">
        <v>10</v>
      </c>
      <c r="B66" s="53"/>
      <c r="C66" s="53"/>
    </row>
    <row r="67" spans="1:3" x14ac:dyDescent="0.2">
      <c r="A67" s="37" t="s">
        <v>112</v>
      </c>
      <c r="B67" s="38">
        <v>1</v>
      </c>
      <c r="C67" s="39" t="s">
        <v>47</v>
      </c>
    </row>
    <row r="68" spans="1:3" x14ac:dyDescent="0.2">
      <c r="A68" s="37" t="s">
        <v>81</v>
      </c>
      <c r="B68" s="38">
        <v>1</v>
      </c>
      <c r="C68" s="39" t="s">
        <v>47</v>
      </c>
    </row>
    <row r="69" spans="1:3" x14ac:dyDescent="0.2">
      <c r="A69" s="37" t="s">
        <v>82</v>
      </c>
      <c r="B69" s="38">
        <v>1</v>
      </c>
      <c r="C69" s="39" t="s">
        <v>47</v>
      </c>
    </row>
    <row r="70" spans="1:3" x14ac:dyDescent="0.2">
      <c r="A70" s="37" t="s">
        <v>113</v>
      </c>
      <c r="B70" s="38">
        <v>1</v>
      </c>
      <c r="C70" s="39" t="s">
        <v>47</v>
      </c>
    </row>
    <row r="71" spans="1:3" x14ac:dyDescent="0.2">
      <c r="A71" s="52" t="s">
        <v>114</v>
      </c>
      <c r="B71" s="53"/>
      <c r="C71" s="53"/>
    </row>
    <row r="72" spans="1:3" x14ac:dyDescent="0.2">
      <c r="A72" s="37" t="s">
        <v>115</v>
      </c>
      <c r="B72" s="38">
        <v>1</v>
      </c>
      <c r="C72" s="39" t="s">
        <v>47</v>
      </c>
    </row>
    <row r="73" spans="1:3" x14ac:dyDescent="0.2">
      <c r="A73" s="37" t="s">
        <v>116</v>
      </c>
      <c r="B73" s="38">
        <v>1</v>
      </c>
      <c r="C73" s="39" t="s">
        <v>47</v>
      </c>
    </row>
    <row r="74" spans="1:3" x14ac:dyDescent="0.2">
      <c r="A74" s="52" t="s">
        <v>117</v>
      </c>
      <c r="B74" s="53"/>
      <c r="C74" s="53"/>
    </row>
    <row r="75" spans="1:3" x14ac:dyDescent="0.2">
      <c r="A75" s="37" t="s">
        <v>118</v>
      </c>
      <c r="B75" s="38">
        <v>1</v>
      </c>
      <c r="C75" s="39" t="s">
        <v>47</v>
      </c>
    </row>
    <row r="76" spans="1:3" x14ac:dyDescent="0.2">
      <c r="A76" s="37" t="s">
        <v>135</v>
      </c>
      <c r="B76" s="38">
        <v>1</v>
      </c>
      <c r="C76" s="43" t="s">
        <v>47</v>
      </c>
    </row>
    <row r="77" spans="1:3" x14ac:dyDescent="0.2">
      <c r="A77" s="37" t="s">
        <v>141</v>
      </c>
      <c r="B77" s="38">
        <v>1</v>
      </c>
      <c r="C77" s="43" t="s">
        <v>47</v>
      </c>
    </row>
  </sheetData>
  <mergeCells count="13">
    <mergeCell ref="A71:C71"/>
    <mergeCell ref="A66:C66"/>
    <mergeCell ref="A74:C74"/>
    <mergeCell ref="A39:C39"/>
    <mergeCell ref="A2:C2"/>
    <mergeCell ref="A33:C33"/>
    <mergeCell ref="A64:C64"/>
    <mergeCell ref="A61:C61"/>
    <mergeCell ref="A36:C36"/>
    <mergeCell ref="A58:C58"/>
    <mergeCell ref="A16:C16"/>
    <mergeCell ref="A55:C55"/>
    <mergeCell ref="A44:C44"/>
  </mergeCells>
  <hyperlinks>
    <hyperlink ref="C3" r:id="rId1" xr:uid="{00000000-0004-0000-0000-000000000000}"/>
    <hyperlink ref="C4" r:id="rId2" xr:uid="{00000000-0004-0000-0000-000001000000}"/>
    <hyperlink ref="C5" r:id="rId3" xr:uid="{00000000-0004-0000-0000-000002000000}"/>
    <hyperlink ref="C6" r:id="rId4" xr:uid="{00000000-0004-0000-0000-000003000000}"/>
    <hyperlink ref="C7" r:id="rId5" xr:uid="{00000000-0004-0000-0000-000004000000}"/>
    <hyperlink ref="C8" r:id="rId6" xr:uid="{00000000-0004-0000-0000-000005000000}"/>
    <hyperlink ref="C9" r:id="rId7" xr:uid="{00000000-0004-0000-0000-000006000000}"/>
    <hyperlink ref="C10" r:id="rId8" xr:uid="{00000000-0004-0000-0000-000007000000}"/>
    <hyperlink ref="C11" r:id="rId9" xr:uid="{00000000-0004-0000-0000-000008000000}"/>
    <hyperlink ref="C12" r:id="rId10" xr:uid="{00000000-0004-0000-0000-000009000000}"/>
    <hyperlink ref="C13" r:id="rId11" xr:uid="{00000000-0004-0000-0000-00000A000000}"/>
    <hyperlink ref="C14" r:id="rId12" xr:uid="{00000000-0004-0000-0000-00000B000000}"/>
    <hyperlink ref="C15" r:id="rId13" xr:uid="{00000000-0004-0000-0000-00000C000000}"/>
    <hyperlink ref="C17" r:id="rId14" xr:uid="{00000000-0004-0000-0000-00000D000000}"/>
    <hyperlink ref="C18" r:id="rId15" xr:uid="{00000000-0004-0000-0000-00000E000000}"/>
    <hyperlink ref="C19" r:id="rId16" xr:uid="{00000000-0004-0000-0000-00000F000000}"/>
    <hyperlink ref="C20" r:id="rId17" xr:uid="{00000000-0004-0000-0000-000010000000}"/>
    <hyperlink ref="C21" r:id="rId18" xr:uid="{00000000-0004-0000-0000-000011000000}"/>
    <hyperlink ref="C22" r:id="rId19" xr:uid="{00000000-0004-0000-0000-000012000000}"/>
    <hyperlink ref="C23" r:id="rId20" xr:uid="{00000000-0004-0000-0000-000013000000}"/>
    <hyperlink ref="C24" r:id="rId21" xr:uid="{00000000-0004-0000-0000-000014000000}"/>
    <hyperlink ref="C25" r:id="rId22" xr:uid="{00000000-0004-0000-0000-000015000000}"/>
    <hyperlink ref="C26" r:id="rId23" xr:uid="{00000000-0004-0000-0000-000016000000}"/>
    <hyperlink ref="C27" r:id="rId24" xr:uid="{00000000-0004-0000-0000-000017000000}"/>
    <hyperlink ref="C28" r:id="rId25" xr:uid="{00000000-0004-0000-0000-000018000000}"/>
    <hyperlink ref="C29" r:id="rId26" xr:uid="{00000000-0004-0000-0000-000019000000}"/>
    <hyperlink ref="C30" r:id="rId27" xr:uid="{00000000-0004-0000-0000-00001A000000}"/>
    <hyperlink ref="C34" r:id="rId28" xr:uid="{00000000-0004-0000-0000-00001B000000}"/>
    <hyperlink ref="C35" r:id="rId29" xr:uid="{00000000-0004-0000-0000-00001C000000}"/>
    <hyperlink ref="C37" r:id="rId30" xr:uid="{00000000-0004-0000-0000-00001D000000}"/>
    <hyperlink ref="C38" r:id="rId31" xr:uid="{00000000-0004-0000-0000-00001E000000}"/>
    <hyperlink ref="C40" r:id="rId32" xr:uid="{00000000-0004-0000-0000-00001F000000}"/>
    <hyperlink ref="C41" r:id="rId33" xr:uid="{00000000-0004-0000-0000-000020000000}"/>
    <hyperlink ref="C42" r:id="rId34" xr:uid="{00000000-0004-0000-0000-000021000000}"/>
    <hyperlink ref="C43" r:id="rId35" xr:uid="{00000000-0004-0000-0000-000022000000}"/>
    <hyperlink ref="C45" r:id="rId36" xr:uid="{00000000-0004-0000-0000-000023000000}"/>
    <hyperlink ref="C46" r:id="rId37" xr:uid="{00000000-0004-0000-0000-000024000000}"/>
    <hyperlink ref="C47" r:id="rId38" xr:uid="{00000000-0004-0000-0000-000025000000}"/>
    <hyperlink ref="C48" r:id="rId39" xr:uid="{00000000-0004-0000-0000-000026000000}"/>
    <hyperlink ref="C49" r:id="rId40" xr:uid="{00000000-0004-0000-0000-000027000000}"/>
    <hyperlink ref="C50" r:id="rId41" xr:uid="{00000000-0004-0000-0000-000028000000}"/>
    <hyperlink ref="C51" r:id="rId42" xr:uid="{00000000-0004-0000-0000-000029000000}"/>
    <hyperlink ref="C52" r:id="rId43" xr:uid="{00000000-0004-0000-0000-00002A000000}"/>
    <hyperlink ref="C53" r:id="rId44" xr:uid="{00000000-0004-0000-0000-00002B000000}"/>
    <hyperlink ref="C56" r:id="rId45" xr:uid="{00000000-0004-0000-0000-00002C000000}"/>
    <hyperlink ref="C57" r:id="rId46" xr:uid="{00000000-0004-0000-0000-00002D000000}"/>
    <hyperlink ref="C59" r:id="rId47" xr:uid="{00000000-0004-0000-0000-00002E000000}"/>
    <hyperlink ref="C60" r:id="rId48" xr:uid="{00000000-0004-0000-0000-00002F000000}"/>
    <hyperlink ref="C62" r:id="rId49" xr:uid="{00000000-0004-0000-0000-000030000000}"/>
    <hyperlink ref="C63" r:id="rId50" xr:uid="{00000000-0004-0000-0000-000031000000}"/>
    <hyperlink ref="C65" r:id="rId51" xr:uid="{00000000-0004-0000-0000-000032000000}"/>
    <hyperlink ref="C67" r:id="rId52" xr:uid="{00000000-0004-0000-0000-000033000000}"/>
    <hyperlink ref="C68" r:id="rId53" xr:uid="{00000000-0004-0000-0000-000034000000}"/>
    <hyperlink ref="C69" r:id="rId54" xr:uid="{00000000-0004-0000-0000-000035000000}"/>
    <hyperlink ref="C70" r:id="rId55" xr:uid="{00000000-0004-0000-0000-000036000000}"/>
    <hyperlink ref="C72" r:id="rId56" xr:uid="{00000000-0004-0000-0000-000037000000}"/>
    <hyperlink ref="C73" r:id="rId57" xr:uid="{00000000-0004-0000-0000-000038000000}"/>
    <hyperlink ref="C75" r:id="rId58" xr:uid="{00000000-0004-0000-0000-000039000000}"/>
    <hyperlink ref="C54" r:id="rId59" xr:uid="{1DC30A40-E002-D740-A2A1-6F57634A8B1B}"/>
    <hyperlink ref="C31" r:id="rId60" xr:uid="{054703E7-4BA6-114C-816D-F103C618DB92}"/>
    <hyperlink ref="C76" r:id="rId61" xr:uid="{DDFF3A2E-8861-D346-B321-FC05955F2F82}"/>
    <hyperlink ref="C32" r:id="rId62" xr:uid="{B85DB39F-5D7F-F048-A07E-913F42D81858}"/>
    <hyperlink ref="C77" r:id="rId63" xr:uid="{CA3F61A4-950A-E949-818C-38BFC7E7CE5F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N57"/>
  <sheetViews>
    <sheetView showGridLines="0" zoomScale="150" workbookViewId="0">
      <pane ySplit="2" topLeftCell="A15" activePane="bottomLeft" state="frozen"/>
      <selection pane="bottomLeft" activeCell="B26" sqref="B26"/>
    </sheetView>
  </sheetViews>
  <sheetFormatPr baseColWidth="10" defaultRowHeight="16" x14ac:dyDescent="0.2"/>
  <cols>
    <col min="1" max="1" width="10.83203125" style="5" customWidth="1"/>
    <col min="2" max="2" width="24.1640625" style="5" customWidth="1"/>
    <col min="3" max="3" width="3.1640625" style="5" customWidth="1"/>
    <col min="4" max="4" width="11.83203125" style="5" customWidth="1"/>
    <col min="5" max="5" width="10.83203125" style="5" customWidth="1"/>
    <col min="6" max="6" width="17.1640625" style="5" customWidth="1"/>
    <col min="7" max="7" width="3.33203125" style="5" customWidth="1"/>
    <col min="8" max="8" width="11.5" style="5" customWidth="1"/>
    <col min="9" max="9" width="10.83203125" style="5" customWidth="1"/>
    <col min="10" max="10" width="15.5" style="5" customWidth="1"/>
    <col min="11" max="11" width="3.5" style="5" customWidth="1"/>
    <col min="12" max="12" width="18" style="5" customWidth="1"/>
    <col min="13" max="13" width="10.83203125" style="5" customWidth="1"/>
    <col min="14" max="14" width="22.33203125" style="5" customWidth="1"/>
    <col min="15" max="15" width="5" style="5" customWidth="1"/>
    <col min="16" max="16" width="16" style="5" customWidth="1"/>
    <col min="17" max="17" width="10.83203125" style="5" customWidth="1"/>
    <col min="18" max="18" width="15.83203125" style="5" customWidth="1"/>
    <col min="19" max="19" width="2.83203125" style="5" customWidth="1"/>
    <col min="20" max="21" width="10.83203125" style="5" customWidth="1"/>
    <col min="22" max="22" width="18.83203125" style="5" customWidth="1"/>
    <col min="23" max="23" width="4" style="5" customWidth="1"/>
    <col min="24" max="25" width="10.83203125" style="5" customWidth="1"/>
    <col min="26" max="26" width="25.6640625" style="5" customWidth="1"/>
    <col min="27" max="27" width="2.6640625" style="5" customWidth="1"/>
    <col min="28" max="28" width="33.1640625" style="5" customWidth="1"/>
    <col min="29" max="29" width="10.83203125" style="5" customWidth="1"/>
    <col min="30" max="30" width="25.1640625" style="5" customWidth="1"/>
    <col min="31" max="31" width="3.5" style="5" customWidth="1"/>
    <col min="32" max="32" width="9.6640625" style="5" customWidth="1"/>
    <col min="33" max="33" width="10.83203125" style="5" customWidth="1"/>
    <col min="34" max="34" width="26.6640625" style="5" customWidth="1"/>
    <col min="35" max="35" width="4.1640625" style="5" customWidth="1"/>
    <col min="36" max="37" width="10.83203125" style="5" customWidth="1"/>
    <col min="38" max="38" width="13.33203125" style="5" customWidth="1"/>
    <col min="39" max="40" width="10.83203125" style="5" customWidth="1"/>
    <col min="41" max="16384" width="10.83203125" style="5"/>
  </cols>
  <sheetData>
    <row r="2" spans="2:40" x14ac:dyDescent="0.2">
      <c r="B2" s="14" t="s">
        <v>1</v>
      </c>
      <c r="F2" s="14" t="s">
        <v>2</v>
      </c>
      <c r="J2" s="14" t="s">
        <v>3</v>
      </c>
      <c r="N2" s="14" t="s">
        <v>4</v>
      </c>
      <c r="R2" s="14" t="s">
        <v>5</v>
      </c>
      <c r="V2" s="14" t="s">
        <v>6</v>
      </c>
      <c r="Z2" s="14" t="s">
        <v>7</v>
      </c>
      <c r="AD2" s="14" t="s">
        <v>8</v>
      </c>
      <c r="AH2" s="14" t="s">
        <v>9</v>
      </c>
      <c r="AL2" s="14" t="s">
        <v>10</v>
      </c>
    </row>
    <row r="3" spans="2:40" x14ac:dyDescent="0.2">
      <c r="B3" s="15" t="s">
        <v>41</v>
      </c>
      <c r="C3" s="16">
        <v>4</v>
      </c>
      <c r="D3" s="17" t="s">
        <v>119</v>
      </c>
      <c r="F3" s="15" t="s">
        <v>43</v>
      </c>
      <c r="G3" s="16">
        <v>12</v>
      </c>
      <c r="H3" s="2"/>
      <c r="J3" s="15" t="s">
        <v>43</v>
      </c>
      <c r="K3" s="16">
        <v>4</v>
      </c>
      <c r="L3" s="9"/>
      <c r="N3" s="15" t="s">
        <v>43</v>
      </c>
      <c r="O3" s="16">
        <v>4</v>
      </c>
      <c r="P3" s="9"/>
      <c r="R3" s="15" t="s">
        <v>28</v>
      </c>
      <c r="S3" s="16">
        <v>2</v>
      </c>
      <c r="T3" s="9"/>
      <c r="V3" s="15" t="s">
        <v>25</v>
      </c>
      <c r="W3" s="16">
        <v>4</v>
      </c>
      <c r="X3" s="17" t="s">
        <v>120</v>
      </c>
      <c r="Z3" s="15" t="s">
        <v>39</v>
      </c>
      <c r="AA3" s="16">
        <v>1</v>
      </c>
      <c r="AB3" s="9"/>
      <c r="AD3" s="15" t="s">
        <v>44</v>
      </c>
      <c r="AE3" s="16">
        <v>4</v>
      </c>
      <c r="AF3" s="2"/>
      <c r="AH3" s="18" t="s">
        <v>30</v>
      </c>
      <c r="AI3" s="19">
        <v>3</v>
      </c>
      <c r="AJ3" s="12"/>
      <c r="AL3" s="15" t="s">
        <v>43</v>
      </c>
      <c r="AM3" s="16">
        <v>4</v>
      </c>
      <c r="AN3" s="9"/>
    </row>
    <row r="4" spans="2:40" x14ac:dyDescent="0.2">
      <c r="B4" s="20" t="s">
        <v>43</v>
      </c>
      <c r="C4" s="21">
        <v>16</v>
      </c>
      <c r="D4" s="10"/>
      <c r="F4" s="6"/>
      <c r="H4" s="7"/>
      <c r="J4" s="6"/>
      <c r="L4" s="7"/>
      <c r="N4" s="20" t="s">
        <v>44</v>
      </c>
      <c r="O4" s="21">
        <v>2</v>
      </c>
      <c r="P4" s="7"/>
      <c r="R4" s="20" t="s">
        <v>29</v>
      </c>
      <c r="S4" s="21">
        <v>1</v>
      </c>
      <c r="T4" s="7"/>
      <c r="V4" s="20" t="s">
        <v>28</v>
      </c>
      <c r="W4" s="21">
        <v>2</v>
      </c>
      <c r="X4" s="7"/>
      <c r="Z4" s="20" t="s">
        <v>40</v>
      </c>
      <c r="AA4" s="21">
        <v>1</v>
      </c>
      <c r="AB4" s="22" t="s">
        <v>121</v>
      </c>
      <c r="AD4" s="30" t="s">
        <v>46</v>
      </c>
      <c r="AE4" s="21">
        <v>1</v>
      </c>
      <c r="AF4" s="10"/>
      <c r="AL4" s="6"/>
      <c r="AN4" s="7"/>
    </row>
    <row r="5" spans="2:40" x14ac:dyDescent="0.2">
      <c r="B5" s="20" t="s">
        <v>122</v>
      </c>
      <c r="C5" s="21">
        <v>4</v>
      </c>
      <c r="D5" s="10"/>
      <c r="F5" s="23" t="s">
        <v>22</v>
      </c>
      <c r="G5" s="24">
        <v>4</v>
      </c>
      <c r="H5" s="11"/>
      <c r="J5" s="20" t="s">
        <v>23</v>
      </c>
      <c r="K5" s="21">
        <v>4</v>
      </c>
      <c r="L5" s="22" t="s">
        <v>120</v>
      </c>
      <c r="N5" s="6"/>
      <c r="P5" s="7"/>
      <c r="R5" s="6"/>
      <c r="T5" s="7"/>
      <c r="V5" s="20" t="s">
        <v>29</v>
      </c>
      <c r="W5" s="21">
        <v>1</v>
      </c>
      <c r="X5" s="7"/>
      <c r="Z5" s="6"/>
      <c r="AB5" s="7"/>
      <c r="AD5" s="6"/>
      <c r="AF5" s="7"/>
      <c r="AL5" s="20" t="s">
        <v>22</v>
      </c>
      <c r="AM5" s="21">
        <v>4</v>
      </c>
      <c r="AN5" s="7"/>
    </row>
    <row r="6" spans="2:40" x14ac:dyDescent="0.2">
      <c r="B6" s="6"/>
      <c r="D6" s="7"/>
      <c r="J6" s="20" t="s">
        <v>28</v>
      </c>
      <c r="K6" s="21">
        <v>6</v>
      </c>
      <c r="L6" s="7"/>
      <c r="N6" s="20" t="s">
        <v>31</v>
      </c>
      <c r="O6" s="21">
        <v>2</v>
      </c>
      <c r="P6" s="7"/>
      <c r="R6" s="20" t="s">
        <v>48</v>
      </c>
      <c r="S6" s="21">
        <v>3</v>
      </c>
      <c r="T6" s="7"/>
      <c r="V6" s="6"/>
      <c r="X6" s="7"/>
      <c r="Z6" s="20" t="s">
        <v>45</v>
      </c>
      <c r="AA6" s="21">
        <v>2</v>
      </c>
      <c r="AB6" s="7"/>
      <c r="AD6" s="20" t="s">
        <v>32</v>
      </c>
      <c r="AE6" s="21">
        <v>4</v>
      </c>
      <c r="AF6" s="10"/>
      <c r="AL6" s="6"/>
      <c r="AN6" s="7"/>
    </row>
    <row r="7" spans="2:40" x14ac:dyDescent="0.2">
      <c r="B7" s="20" t="s">
        <v>140</v>
      </c>
      <c r="C7" s="21">
        <v>4</v>
      </c>
      <c r="D7" s="22" t="s">
        <v>119</v>
      </c>
      <c r="J7" s="6"/>
      <c r="L7" s="7"/>
      <c r="N7" s="20" t="s">
        <v>25</v>
      </c>
      <c r="O7" s="21">
        <v>4</v>
      </c>
      <c r="P7" s="7"/>
      <c r="R7" s="6"/>
      <c r="T7" s="7"/>
      <c r="V7" s="20" t="s">
        <v>48</v>
      </c>
      <c r="W7" s="21">
        <v>7</v>
      </c>
      <c r="X7" s="7"/>
      <c r="Z7" s="23" t="s">
        <v>123</v>
      </c>
      <c r="AA7" s="24">
        <v>1</v>
      </c>
      <c r="AB7" s="8"/>
      <c r="AD7" s="23" t="s">
        <v>34</v>
      </c>
      <c r="AE7" s="24">
        <v>4</v>
      </c>
      <c r="AF7" s="11"/>
      <c r="AL7" s="23" t="s">
        <v>48</v>
      </c>
      <c r="AM7" s="24">
        <v>4</v>
      </c>
      <c r="AN7" s="8"/>
    </row>
    <row r="8" spans="2:40" x14ac:dyDescent="0.2">
      <c r="B8" s="6"/>
      <c r="D8" s="7"/>
      <c r="J8" s="23" t="s">
        <v>48</v>
      </c>
      <c r="K8" s="24">
        <v>10</v>
      </c>
      <c r="L8" s="8"/>
      <c r="N8" s="20" t="s">
        <v>33</v>
      </c>
      <c r="O8" s="21">
        <v>2</v>
      </c>
      <c r="P8" s="7"/>
      <c r="R8" s="23" t="s">
        <v>124</v>
      </c>
      <c r="S8" s="24">
        <v>2</v>
      </c>
      <c r="T8" s="8"/>
      <c r="V8" s="6"/>
      <c r="X8" s="7"/>
    </row>
    <row r="9" spans="2:40" x14ac:dyDescent="0.2">
      <c r="B9" s="20" t="s">
        <v>31</v>
      </c>
      <c r="C9" s="21">
        <v>4</v>
      </c>
      <c r="D9" s="22" t="s">
        <v>117</v>
      </c>
      <c r="N9" s="23" t="s">
        <v>48</v>
      </c>
      <c r="O9" s="24">
        <v>4</v>
      </c>
      <c r="P9" s="8"/>
      <c r="V9" s="23" t="s">
        <v>124</v>
      </c>
      <c r="W9" s="24">
        <v>2</v>
      </c>
      <c r="X9" s="8"/>
    </row>
    <row r="10" spans="2:40" x14ac:dyDescent="0.2">
      <c r="B10" s="6"/>
      <c r="D10" s="7"/>
    </row>
    <row r="11" spans="2:40" x14ac:dyDescent="0.2">
      <c r="B11" s="20" t="s">
        <v>24</v>
      </c>
      <c r="C11" s="21">
        <v>8</v>
      </c>
      <c r="D11" s="22" t="s">
        <v>125</v>
      </c>
    </row>
    <row r="12" spans="2:40" x14ac:dyDescent="0.2">
      <c r="B12" s="20" t="s">
        <v>26</v>
      </c>
      <c r="C12" s="21">
        <v>2</v>
      </c>
      <c r="D12" s="10"/>
    </row>
    <row r="13" spans="2:40" x14ac:dyDescent="0.2">
      <c r="B13" s="20" t="s">
        <v>29</v>
      </c>
      <c r="C13" s="21">
        <v>6</v>
      </c>
      <c r="D13" s="10"/>
    </row>
    <row r="14" spans="2:40" x14ac:dyDescent="0.2">
      <c r="B14" s="6"/>
      <c r="D14" s="7"/>
    </row>
    <row r="15" spans="2:40" x14ac:dyDescent="0.2">
      <c r="B15" s="23" t="s">
        <v>48</v>
      </c>
      <c r="C15" s="24">
        <v>8</v>
      </c>
      <c r="D15" s="25" t="s">
        <v>125</v>
      </c>
    </row>
    <row r="20" spans="2:36" x14ac:dyDescent="0.2">
      <c r="B20" s="14" t="s">
        <v>11</v>
      </c>
      <c r="F20" s="14" t="s">
        <v>12</v>
      </c>
      <c r="J20" s="14" t="s">
        <v>13</v>
      </c>
      <c r="N20" s="14" t="s">
        <v>14</v>
      </c>
      <c r="R20" s="14" t="s">
        <v>15</v>
      </c>
      <c r="V20" s="14" t="s">
        <v>16</v>
      </c>
      <c r="Z20" s="14" t="s">
        <v>17</v>
      </c>
      <c r="AD20" s="14" t="s">
        <v>18</v>
      </c>
      <c r="AH20" s="29" t="s">
        <v>19</v>
      </c>
    </row>
    <row r="21" spans="2:36" x14ac:dyDescent="0.2">
      <c r="B21" s="15" t="s">
        <v>42</v>
      </c>
      <c r="C21" s="16">
        <v>7</v>
      </c>
      <c r="D21" s="2"/>
      <c r="F21" s="15" t="s">
        <v>46</v>
      </c>
      <c r="G21" s="16">
        <v>1</v>
      </c>
      <c r="H21" s="2"/>
      <c r="J21" s="15" t="s">
        <v>44</v>
      </c>
      <c r="K21" s="16">
        <v>6</v>
      </c>
      <c r="L21" s="9"/>
      <c r="N21" s="15" t="s">
        <v>44</v>
      </c>
      <c r="O21" s="16">
        <v>6</v>
      </c>
      <c r="P21" s="9"/>
      <c r="R21" s="15" t="s">
        <v>44</v>
      </c>
      <c r="S21" s="16">
        <v>6</v>
      </c>
      <c r="T21" s="9"/>
      <c r="V21" s="15" t="s">
        <v>44</v>
      </c>
      <c r="W21" s="16">
        <v>4</v>
      </c>
      <c r="X21" s="9"/>
      <c r="Z21" s="15" t="s">
        <v>42</v>
      </c>
      <c r="AA21" s="16">
        <v>2</v>
      </c>
      <c r="AB21" s="9"/>
      <c r="AD21" s="15" t="s">
        <v>42</v>
      </c>
      <c r="AE21" s="16">
        <v>4</v>
      </c>
      <c r="AF21" s="2"/>
      <c r="AH21" s="31" t="s">
        <v>46</v>
      </c>
      <c r="AI21" s="16">
        <v>2</v>
      </c>
      <c r="AJ21" s="2"/>
    </row>
    <row r="22" spans="2:36" x14ac:dyDescent="0.2">
      <c r="B22" s="20" t="s">
        <v>43</v>
      </c>
      <c r="C22" s="21">
        <v>4</v>
      </c>
      <c r="D22" s="10"/>
      <c r="F22" s="6"/>
      <c r="H22" s="7"/>
      <c r="J22" s="6"/>
      <c r="L22" s="7"/>
      <c r="N22" s="6"/>
      <c r="P22" s="7"/>
      <c r="R22" s="6"/>
      <c r="T22" s="7"/>
      <c r="V22" s="6"/>
      <c r="X22" s="7"/>
      <c r="Z22" s="6"/>
      <c r="AB22" s="7"/>
      <c r="AD22" s="6"/>
      <c r="AF22" s="7"/>
      <c r="AH22" s="6"/>
      <c r="AJ22" s="7"/>
    </row>
    <row r="23" spans="2:36" x14ac:dyDescent="0.2">
      <c r="B23" s="20" t="s">
        <v>46</v>
      </c>
      <c r="C23" s="21">
        <v>1</v>
      </c>
      <c r="D23" s="10"/>
      <c r="F23" s="20" t="s">
        <v>33</v>
      </c>
      <c r="G23" s="21">
        <v>4</v>
      </c>
      <c r="H23" s="10"/>
      <c r="J23" s="20" t="s">
        <v>35</v>
      </c>
      <c r="K23" s="21">
        <v>2</v>
      </c>
      <c r="L23" s="22" t="s">
        <v>126</v>
      </c>
      <c r="N23" s="20" t="s">
        <v>35</v>
      </c>
      <c r="O23" s="21">
        <v>2</v>
      </c>
      <c r="P23" s="22" t="s">
        <v>127</v>
      </c>
      <c r="R23" s="23" t="s">
        <v>32</v>
      </c>
      <c r="S23" s="24">
        <v>2</v>
      </c>
      <c r="T23" s="8"/>
      <c r="V23" s="20" t="s">
        <v>23</v>
      </c>
      <c r="W23" s="21">
        <v>4</v>
      </c>
      <c r="X23" s="7"/>
      <c r="Z23" s="23" t="s">
        <v>32</v>
      </c>
      <c r="AA23" s="24">
        <v>2</v>
      </c>
      <c r="AB23" s="8"/>
      <c r="AD23" s="20" t="s">
        <v>31</v>
      </c>
      <c r="AE23" s="21">
        <v>4</v>
      </c>
      <c r="AF23" s="10"/>
      <c r="AH23" s="32" t="s">
        <v>38</v>
      </c>
      <c r="AI23" s="24">
        <v>2</v>
      </c>
      <c r="AJ23" s="11"/>
    </row>
    <row r="24" spans="2:36" x14ac:dyDescent="0.2">
      <c r="B24" s="6"/>
      <c r="D24" s="7"/>
      <c r="F24" s="20" t="s">
        <v>35</v>
      </c>
      <c r="G24" s="21">
        <v>2</v>
      </c>
      <c r="H24" s="10"/>
      <c r="J24" s="20" t="s">
        <v>36</v>
      </c>
      <c r="K24" s="21">
        <v>2</v>
      </c>
      <c r="L24" s="22" t="s">
        <v>128</v>
      </c>
      <c r="N24" s="20" t="s">
        <v>36</v>
      </c>
      <c r="O24" s="21">
        <v>2</v>
      </c>
      <c r="P24" s="22" t="s">
        <v>128</v>
      </c>
      <c r="V24" s="23" t="s">
        <v>48</v>
      </c>
      <c r="W24" s="24">
        <v>4</v>
      </c>
      <c r="X24" s="8"/>
      <c r="AD24" s="6"/>
      <c r="AF24" s="7"/>
    </row>
    <row r="25" spans="2:36" x14ac:dyDescent="0.2">
      <c r="B25" s="48" t="s">
        <v>140</v>
      </c>
      <c r="C25" s="49">
        <v>2</v>
      </c>
      <c r="D25" s="50"/>
      <c r="F25" s="6"/>
      <c r="H25" s="7"/>
      <c r="J25" s="20" t="s">
        <v>37</v>
      </c>
      <c r="K25" s="21">
        <v>2</v>
      </c>
      <c r="L25" s="22" t="s">
        <v>129</v>
      </c>
      <c r="N25" s="23" t="s">
        <v>37</v>
      </c>
      <c r="O25" s="24">
        <v>2</v>
      </c>
      <c r="P25" s="25" t="s">
        <v>130</v>
      </c>
      <c r="AD25" s="20" t="s">
        <v>26</v>
      </c>
      <c r="AE25" s="21">
        <v>2</v>
      </c>
      <c r="AF25" s="10"/>
      <c r="AH25" s="21"/>
      <c r="AI25" s="21"/>
      <c r="AJ25" s="1"/>
    </row>
    <row r="26" spans="2:36" x14ac:dyDescent="0.2">
      <c r="B26" s="6"/>
      <c r="D26" s="7"/>
      <c r="F26" s="23" t="s">
        <v>49</v>
      </c>
      <c r="G26" s="24">
        <v>4</v>
      </c>
      <c r="H26" s="11"/>
      <c r="J26" s="6"/>
      <c r="L26" s="7"/>
      <c r="AD26" s="23" t="s">
        <v>48</v>
      </c>
      <c r="AE26" s="24">
        <v>2</v>
      </c>
      <c r="AF26" s="11"/>
      <c r="AH26" s="21"/>
      <c r="AI26" s="21"/>
      <c r="AJ26" s="1"/>
    </row>
    <row r="27" spans="2:36" x14ac:dyDescent="0.2">
      <c r="B27" s="20" t="s">
        <v>25</v>
      </c>
      <c r="C27" s="21">
        <v>2</v>
      </c>
      <c r="D27" s="51"/>
      <c r="J27" s="20" t="s">
        <v>27</v>
      </c>
      <c r="K27" s="21">
        <v>2</v>
      </c>
      <c r="L27" s="22" t="s">
        <v>131</v>
      </c>
    </row>
    <row r="28" spans="2:36" x14ac:dyDescent="0.2">
      <c r="B28" s="20" t="s">
        <v>27</v>
      </c>
      <c r="C28" s="21">
        <v>1</v>
      </c>
      <c r="D28" s="51"/>
      <c r="J28" s="23" t="s">
        <v>48</v>
      </c>
      <c r="K28" s="24">
        <v>2</v>
      </c>
      <c r="L28" s="25" t="s">
        <v>131</v>
      </c>
    </row>
    <row r="29" spans="2:36" x14ac:dyDescent="0.2">
      <c r="B29" s="20" t="s">
        <v>31</v>
      </c>
      <c r="C29" s="21">
        <v>4</v>
      </c>
      <c r="D29" s="10"/>
    </row>
    <row r="30" spans="2:36" x14ac:dyDescent="0.2">
      <c r="B30" s="6"/>
      <c r="D30" s="7"/>
    </row>
    <row r="31" spans="2:36" x14ac:dyDescent="0.2">
      <c r="B31" s="20" t="s">
        <v>33</v>
      </c>
      <c r="C31" s="21">
        <v>4</v>
      </c>
      <c r="D31" s="10"/>
    </row>
    <row r="32" spans="2:36" x14ac:dyDescent="0.2">
      <c r="B32" s="6"/>
      <c r="D32" s="7"/>
    </row>
    <row r="33" spans="2:12" x14ac:dyDescent="0.2">
      <c r="B33" s="20" t="s">
        <v>48</v>
      </c>
      <c r="C33" s="21">
        <v>2</v>
      </c>
      <c r="D33" s="10"/>
    </row>
    <row r="34" spans="2:12" x14ac:dyDescent="0.2">
      <c r="B34" s="23" t="s">
        <v>49</v>
      </c>
      <c r="C34" s="24">
        <v>4</v>
      </c>
      <c r="D34" s="11"/>
      <c r="G34" s="1"/>
      <c r="H34" s="1"/>
      <c r="I34" s="1"/>
      <c r="J34" s="1"/>
      <c r="K34" s="1"/>
      <c r="L34" s="1"/>
    </row>
    <row r="35" spans="2:12" x14ac:dyDescent="0.2">
      <c r="B35" s="1"/>
    </row>
    <row r="36" spans="2:12" x14ac:dyDescent="0.2">
      <c r="B36" s="1"/>
    </row>
    <row r="37" spans="2:12" x14ac:dyDescent="0.2">
      <c r="B37" s="1"/>
    </row>
    <row r="38" spans="2:12" x14ac:dyDescent="0.2">
      <c r="B38" s="1"/>
    </row>
    <row r="39" spans="2:12" x14ac:dyDescent="0.2">
      <c r="B39" s="1"/>
    </row>
    <row r="40" spans="2:12" x14ac:dyDescent="0.2">
      <c r="B40" s="1"/>
    </row>
    <row r="41" spans="2:12" x14ac:dyDescent="0.2">
      <c r="B41" s="1"/>
    </row>
    <row r="42" spans="2:12" x14ac:dyDescent="0.2">
      <c r="B42" s="1"/>
    </row>
    <row r="43" spans="2:12" x14ac:dyDescent="0.2">
      <c r="B43" s="1"/>
    </row>
    <row r="44" spans="2:12" x14ac:dyDescent="0.2">
      <c r="B44" s="1"/>
    </row>
    <row r="45" spans="2:12" x14ac:dyDescent="0.2">
      <c r="B45" s="1"/>
    </row>
    <row r="46" spans="2:12" x14ac:dyDescent="0.2">
      <c r="B46" s="1"/>
    </row>
    <row r="47" spans="2:12" x14ac:dyDescent="0.2">
      <c r="B47" s="1"/>
    </row>
    <row r="48" spans="2:12" x14ac:dyDescent="0.2">
      <c r="B48" s="1"/>
    </row>
    <row r="49" spans="2:2" x14ac:dyDescent="0.2">
      <c r="B49" s="1"/>
    </row>
    <row r="50" spans="2:2" x14ac:dyDescent="0.2">
      <c r="B50" s="1"/>
    </row>
    <row r="51" spans="2:2" x14ac:dyDescent="0.2">
      <c r="B51" s="1"/>
    </row>
    <row r="52" spans="2:2" x14ac:dyDescent="0.2">
      <c r="B52" s="1"/>
    </row>
    <row r="53" spans="2:2" x14ac:dyDescent="0.2">
      <c r="B53" s="1"/>
    </row>
    <row r="54" spans="2:2" x14ac:dyDescent="0.2">
      <c r="B54" s="1"/>
    </row>
    <row r="55" spans="2:2" x14ac:dyDescent="0.2">
      <c r="B55" s="1"/>
    </row>
    <row r="56" spans="2:2" x14ac:dyDescent="0.2">
      <c r="B56" s="1"/>
    </row>
    <row r="57" spans="2:2" x14ac:dyDescent="0.2">
      <c r="B5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W36"/>
  <sheetViews>
    <sheetView showGridLines="0" zoomScale="207" zoomScaleNormal="92" workbookViewId="0">
      <pane xSplit="2" ySplit="2" topLeftCell="J8" activePane="bottomRight" state="frozen"/>
      <selection pane="topRight"/>
      <selection pane="bottomLeft"/>
      <selection pane="bottomRight" activeCell="B13" sqref="B13"/>
    </sheetView>
  </sheetViews>
  <sheetFormatPr baseColWidth="10" defaultRowHeight="16" x14ac:dyDescent="0.2"/>
  <cols>
    <col min="1" max="1" width="3.33203125" customWidth="1"/>
    <col min="2" max="2" width="22" customWidth="1"/>
    <col min="3" max="21" width="9" customWidth="1"/>
    <col min="22" max="22" width="8" customWidth="1"/>
    <col min="23" max="23" width="12" customWidth="1"/>
  </cols>
  <sheetData>
    <row r="2" spans="2:23" ht="57" customHeight="1" x14ac:dyDescent="0.2">
      <c r="B2" s="26" t="s">
        <v>0</v>
      </c>
      <c r="C2" s="26" t="s">
        <v>1</v>
      </c>
      <c r="D2" s="26" t="s">
        <v>2</v>
      </c>
      <c r="E2" s="26" t="s">
        <v>3</v>
      </c>
      <c r="F2" s="26" t="s">
        <v>4</v>
      </c>
      <c r="G2" s="26" t="s">
        <v>5</v>
      </c>
      <c r="H2" s="26" t="s">
        <v>6</v>
      </c>
      <c r="I2" s="26" t="s">
        <v>7</v>
      </c>
      <c r="J2" s="26" t="s">
        <v>8</v>
      </c>
      <c r="K2" s="26" t="s">
        <v>9</v>
      </c>
      <c r="L2" s="26" t="s">
        <v>10</v>
      </c>
      <c r="M2" s="26" t="s">
        <v>11</v>
      </c>
      <c r="N2" s="26" t="s">
        <v>12</v>
      </c>
      <c r="O2" s="26" t="s">
        <v>13</v>
      </c>
      <c r="P2" s="26" t="s">
        <v>14</v>
      </c>
      <c r="Q2" s="26" t="s">
        <v>15</v>
      </c>
      <c r="R2" s="26" t="s">
        <v>16</v>
      </c>
      <c r="S2" s="26" t="s">
        <v>17</v>
      </c>
      <c r="T2" s="26" t="s">
        <v>18</v>
      </c>
      <c r="U2" s="33" t="s">
        <v>19</v>
      </c>
      <c r="V2" s="26" t="s">
        <v>20</v>
      </c>
      <c r="W2" s="40" t="s">
        <v>21</v>
      </c>
    </row>
    <row r="3" spans="2:23" x14ac:dyDescent="0.2">
      <c r="B3" s="27" t="s">
        <v>22</v>
      </c>
      <c r="C3" s="13"/>
      <c r="D3" s="13">
        <v>4</v>
      </c>
      <c r="E3" s="13"/>
      <c r="F3" s="13"/>
      <c r="G3" s="13"/>
      <c r="H3" s="13"/>
      <c r="I3" s="13"/>
      <c r="J3" s="13"/>
      <c r="K3" s="13"/>
      <c r="L3" s="13">
        <v>4</v>
      </c>
      <c r="M3" s="13"/>
      <c r="N3" s="13"/>
      <c r="O3" s="13"/>
      <c r="P3" s="13"/>
      <c r="Q3" s="13"/>
      <c r="R3" s="13"/>
      <c r="S3" s="13"/>
      <c r="T3" s="13"/>
      <c r="U3" s="13"/>
      <c r="V3" s="28">
        <f t="shared" ref="V3:V10" si="0">SUM(C3:U3)</f>
        <v>8</v>
      </c>
      <c r="W3" s="44" t="s">
        <v>47</v>
      </c>
    </row>
    <row r="4" spans="2:23" x14ac:dyDescent="0.2">
      <c r="B4" s="27" t="s">
        <v>23</v>
      </c>
      <c r="C4" s="13"/>
      <c r="D4" s="13"/>
      <c r="E4" s="13">
        <v>4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>
        <v>4</v>
      </c>
      <c r="S4" s="13"/>
      <c r="T4" s="13"/>
      <c r="U4" s="13"/>
      <c r="V4" s="28">
        <f t="shared" si="0"/>
        <v>8</v>
      </c>
      <c r="W4" s="44" t="s">
        <v>47</v>
      </c>
    </row>
    <row r="5" spans="2:23" x14ac:dyDescent="0.2">
      <c r="B5" s="27" t="s">
        <v>24</v>
      </c>
      <c r="C5" s="13">
        <v>8</v>
      </c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28">
        <f t="shared" si="0"/>
        <v>8</v>
      </c>
      <c r="W5" s="44" t="s">
        <v>47</v>
      </c>
    </row>
    <row r="6" spans="2:23" x14ac:dyDescent="0.2">
      <c r="B6" s="27" t="s">
        <v>25</v>
      </c>
      <c r="C6" s="13"/>
      <c r="D6" s="13"/>
      <c r="E6" s="13"/>
      <c r="F6" s="13">
        <v>4</v>
      </c>
      <c r="G6" s="13"/>
      <c r="H6" s="13">
        <v>4</v>
      </c>
      <c r="I6" s="13"/>
      <c r="J6" s="13"/>
      <c r="K6" s="13"/>
      <c r="L6" s="13"/>
      <c r="M6" s="13">
        <v>2</v>
      </c>
      <c r="N6" s="13"/>
      <c r="O6" s="13"/>
      <c r="P6" s="13"/>
      <c r="Q6" s="13"/>
      <c r="R6" s="13"/>
      <c r="S6" s="13"/>
      <c r="T6" s="13"/>
      <c r="U6" s="13"/>
      <c r="V6" s="28">
        <f t="shared" si="0"/>
        <v>10</v>
      </c>
      <c r="W6" s="44" t="s">
        <v>47</v>
      </c>
    </row>
    <row r="7" spans="2:23" x14ac:dyDescent="0.2">
      <c r="B7" s="27" t="s">
        <v>26</v>
      </c>
      <c r="C7" s="13">
        <v>2</v>
      </c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>
        <v>2</v>
      </c>
      <c r="U7" s="13"/>
      <c r="V7" s="28">
        <f t="shared" si="0"/>
        <v>4</v>
      </c>
      <c r="W7" s="44" t="s">
        <v>47</v>
      </c>
    </row>
    <row r="8" spans="2:23" x14ac:dyDescent="0.2">
      <c r="B8" s="27" t="s">
        <v>27</v>
      </c>
      <c r="C8" s="13"/>
      <c r="D8" s="13"/>
      <c r="E8" s="13"/>
      <c r="F8" s="13"/>
      <c r="G8" s="13"/>
      <c r="H8" s="13"/>
      <c r="I8" s="13"/>
      <c r="J8" s="13"/>
      <c r="K8" s="13"/>
      <c r="L8" s="13"/>
      <c r="M8" s="13">
        <v>1</v>
      </c>
      <c r="N8" s="13"/>
      <c r="O8" s="13">
        <v>2</v>
      </c>
      <c r="P8" s="13"/>
      <c r="Q8" s="13"/>
      <c r="R8" s="13"/>
      <c r="S8" s="13"/>
      <c r="T8" s="13"/>
      <c r="U8" s="13"/>
      <c r="V8" s="28">
        <f t="shared" si="0"/>
        <v>3</v>
      </c>
      <c r="W8" s="44" t="s">
        <v>47</v>
      </c>
    </row>
    <row r="9" spans="2:23" x14ac:dyDescent="0.2">
      <c r="B9" s="27" t="s">
        <v>28</v>
      </c>
      <c r="C9" s="13"/>
      <c r="D9" s="13"/>
      <c r="E9" s="13">
        <v>6</v>
      </c>
      <c r="F9" s="13"/>
      <c r="G9" s="13">
        <v>2</v>
      </c>
      <c r="H9" s="13">
        <v>2</v>
      </c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28">
        <f t="shared" si="0"/>
        <v>10</v>
      </c>
      <c r="W9" s="44" t="s">
        <v>47</v>
      </c>
    </row>
    <row r="10" spans="2:23" x14ac:dyDescent="0.2">
      <c r="B10" s="27" t="s">
        <v>29</v>
      </c>
      <c r="C10" s="13">
        <v>6</v>
      </c>
      <c r="D10" s="13"/>
      <c r="E10" s="13"/>
      <c r="F10" s="13"/>
      <c r="G10" s="13">
        <v>1</v>
      </c>
      <c r="H10" s="13">
        <v>1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28">
        <f t="shared" si="0"/>
        <v>8</v>
      </c>
      <c r="W10" s="44" t="s">
        <v>47</v>
      </c>
    </row>
    <row r="11" spans="2:23" x14ac:dyDescent="0.2">
      <c r="B11" s="3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</row>
    <row r="12" spans="2:23" x14ac:dyDescent="0.2">
      <c r="B12" s="27" t="s">
        <v>30</v>
      </c>
      <c r="C12" s="13"/>
      <c r="D12" s="13"/>
      <c r="E12" s="13"/>
      <c r="F12" s="13"/>
      <c r="G12" s="13"/>
      <c r="H12" s="13"/>
      <c r="I12" s="13"/>
      <c r="J12" s="13"/>
      <c r="K12" s="13">
        <v>3</v>
      </c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28">
        <f>SUM(C12:U12)</f>
        <v>3</v>
      </c>
      <c r="W12" s="44" t="s">
        <v>47</v>
      </c>
    </row>
    <row r="13" spans="2:23" x14ac:dyDescent="0.2">
      <c r="B13" s="46" t="s">
        <v>140</v>
      </c>
      <c r="C13" s="38">
        <v>4</v>
      </c>
      <c r="D13" s="38"/>
      <c r="E13" s="38"/>
      <c r="F13" s="38"/>
      <c r="G13" s="38"/>
      <c r="H13" s="38"/>
      <c r="I13" s="38"/>
      <c r="J13" s="38"/>
      <c r="K13" s="38"/>
      <c r="L13" s="38"/>
      <c r="M13" s="38">
        <v>2</v>
      </c>
      <c r="N13" s="38"/>
      <c r="O13" s="38"/>
      <c r="P13" s="38"/>
      <c r="Q13" s="38"/>
      <c r="R13" s="38"/>
      <c r="S13" s="38"/>
      <c r="T13" s="38"/>
      <c r="U13" s="38"/>
      <c r="V13" s="47">
        <v>4</v>
      </c>
      <c r="W13" s="44" t="s">
        <v>136</v>
      </c>
    </row>
    <row r="14" spans="2:23" x14ac:dyDescent="0.2">
      <c r="B14" s="27" t="s">
        <v>31</v>
      </c>
      <c r="C14" s="13">
        <v>4</v>
      </c>
      <c r="D14" s="13"/>
      <c r="E14" s="13"/>
      <c r="F14" s="13">
        <v>2</v>
      </c>
      <c r="G14" s="13"/>
      <c r="H14" s="13"/>
      <c r="I14" s="13"/>
      <c r="J14" s="13"/>
      <c r="K14" s="13"/>
      <c r="L14" s="13"/>
      <c r="M14" s="13">
        <v>4</v>
      </c>
      <c r="N14" s="13"/>
      <c r="O14" s="13"/>
      <c r="P14" s="13"/>
      <c r="Q14" s="13"/>
      <c r="R14" s="13"/>
      <c r="S14" s="13"/>
      <c r="T14" s="13">
        <v>4</v>
      </c>
      <c r="U14" s="13"/>
      <c r="V14" s="28">
        <f>SUM(C14:U14)</f>
        <v>14</v>
      </c>
      <c r="W14" s="44" t="s">
        <v>136</v>
      </c>
    </row>
    <row r="15" spans="2:23" x14ac:dyDescent="0.2">
      <c r="B15" s="3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</row>
    <row r="16" spans="2:23" x14ac:dyDescent="0.2">
      <c r="B16" s="27" t="s">
        <v>32</v>
      </c>
      <c r="C16" s="13"/>
      <c r="D16" s="13"/>
      <c r="E16" s="13"/>
      <c r="F16" s="13"/>
      <c r="G16" s="13"/>
      <c r="H16" s="13"/>
      <c r="I16" s="13"/>
      <c r="J16" s="13">
        <v>4</v>
      </c>
      <c r="K16" s="13"/>
      <c r="L16" s="13"/>
      <c r="M16" s="13"/>
      <c r="N16" s="13"/>
      <c r="O16" s="13"/>
      <c r="P16" s="13"/>
      <c r="Q16" s="13">
        <v>2</v>
      </c>
      <c r="R16" s="13"/>
      <c r="S16" s="13">
        <v>2</v>
      </c>
      <c r="T16" s="13"/>
      <c r="U16" s="13"/>
      <c r="V16" s="28">
        <f t="shared" ref="V16:V21" si="1">SUM(C16:U16)</f>
        <v>8</v>
      </c>
      <c r="W16" s="44" t="s">
        <v>47</v>
      </c>
    </row>
    <row r="17" spans="2:23" x14ac:dyDescent="0.2">
      <c r="B17" s="27" t="s">
        <v>33</v>
      </c>
      <c r="C17" s="13"/>
      <c r="D17" s="13"/>
      <c r="E17" s="13"/>
      <c r="F17" s="13">
        <v>2</v>
      </c>
      <c r="G17" s="13"/>
      <c r="H17" s="13"/>
      <c r="I17" s="13"/>
      <c r="J17" s="13"/>
      <c r="K17" s="13"/>
      <c r="L17" s="13"/>
      <c r="M17" s="13">
        <v>4</v>
      </c>
      <c r="N17" s="13">
        <v>4</v>
      </c>
      <c r="O17" s="13"/>
      <c r="P17" s="13"/>
      <c r="Q17" s="13"/>
      <c r="R17" s="13"/>
      <c r="S17" s="13"/>
      <c r="T17" s="13"/>
      <c r="U17" s="13"/>
      <c r="V17" s="28">
        <f t="shared" si="1"/>
        <v>10</v>
      </c>
      <c r="W17" s="44" t="s">
        <v>47</v>
      </c>
    </row>
    <row r="18" spans="2:23" x14ac:dyDescent="0.2">
      <c r="B18" s="27" t="s">
        <v>34</v>
      </c>
      <c r="C18" s="13"/>
      <c r="D18" s="13"/>
      <c r="E18" s="13"/>
      <c r="F18" s="13"/>
      <c r="G18" s="13"/>
      <c r="H18" s="13"/>
      <c r="I18" s="13"/>
      <c r="J18" s="13">
        <v>4</v>
      </c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28">
        <f t="shared" si="1"/>
        <v>4</v>
      </c>
      <c r="W18" s="44" t="s">
        <v>47</v>
      </c>
    </row>
    <row r="19" spans="2:23" x14ac:dyDescent="0.2">
      <c r="B19" s="27" t="s">
        <v>35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>
        <v>2</v>
      </c>
      <c r="O19" s="13">
        <v>2</v>
      </c>
      <c r="P19" s="13">
        <v>2</v>
      </c>
      <c r="Q19" s="13"/>
      <c r="R19" s="13"/>
      <c r="S19" s="13"/>
      <c r="T19" s="13"/>
      <c r="U19" s="13"/>
      <c r="V19" s="28">
        <f t="shared" si="1"/>
        <v>6</v>
      </c>
      <c r="W19" s="44" t="s">
        <v>47</v>
      </c>
    </row>
    <row r="20" spans="2:23" x14ac:dyDescent="0.2">
      <c r="B20" s="27" t="s">
        <v>36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>
        <v>2</v>
      </c>
      <c r="P20" s="13">
        <v>2</v>
      </c>
      <c r="Q20" s="13"/>
      <c r="R20" s="13"/>
      <c r="S20" s="13"/>
      <c r="T20" s="13"/>
      <c r="U20" s="13"/>
      <c r="V20" s="28">
        <f t="shared" si="1"/>
        <v>4</v>
      </c>
      <c r="W20" s="44" t="s">
        <v>47</v>
      </c>
    </row>
    <row r="21" spans="2:23" x14ac:dyDescent="0.2">
      <c r="B21" s="27" t="s">
        <v>37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>
        <v>2</v>
      </c>
      <c r="P21" s="13">
        <v>2</v>
      </c>
      <c r="Q21" s="13"/>
      <c r="R21" s="13"/>
      <c r="S21" s="13"/>
      <c r="T21" s="13"/>
      <c r="U21" s="13"/>
      <c r="V21" s="28">
        <f t="shared" si="1"/>
        <v>4</v>
      </c>
      <c r="W21" s="44" t="s">
        <v>47</v>
      </c>
    </row>
    <row r="22" spans="2:23" x14ac:dyDescent="0.2">
      <c r="B22" s="3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</row>
    <row r="23" spans="2:23" x14ac:dyDescent="0.2">
      <c r="B23" s="34" t="s">
        <v>38</v>
      </c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>
        <v>2</v>
      </c>
      <c r="V23" s="28">
        <f>SUM(C23:U23)</f>
        <v>2</v>
      </c>
      <c r="W23" s="44" t="s">
        <v>47</v>
      </c>
    </row>
    <row r="24" spans="2:23" x14ac:dyDescent="0.2">
      <c r="B24" s="3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</row>
    <row r="25" spans="2:23" x14ac:dyDescent="0.2">
      <c r="B25" s="27" t="s">
        <v>39</v>
      </c>
      <c r="C25" s="13"/>
      <c r="D25" s="13"/>
      <c r="E25" s="13"/>
      <c r="F25" s="13"/>
      <c r="G25" s="13"/>
      <c r="H25" s="13"/>
      <c r="I25" s="13">
        <v>1</v>
      </c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28">
        <f>SUM(C25:U25)</f>
        <v>1</v>
      </c>
      <c r="W25" s="44" t="s">
        <v>47</v>
      </c>
    </row>
    <row r="26" spans="2:23" x14ac:dyDescent="0.2">
      <c r="B26" s="27" t="s">
        <v>40</v>
      </c>
      <c r="C26" s="13"/>
      <c r="D26" s="13"/>
      <c r="E26" s="13"/>
      <c r="F26" s="13"/>
      <c r="G26" s="13"/>
      <c r="H26" s="13"/>
      <c r="I26" s="13">
        <v>1</v>
      </c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28">
        <f>SUM(C26:U26)</f>
        <v>1</v>
      </c>
      <c r="W26" s="44" t="s">
        <v>47</v>
      </c>
    </row>
    <row r="27" spans="2:23" x14ac:dyDescent="0.2">
      <c r="B27" s="3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</row>
    <row r="28" spans="2:23" x14ac:dyDescent="0.2">
      <c r="B28" s="27" t="s">
        <v>41</v>
      </c>
      <c r="C28" s="13">
        <v>4</v>
      </c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28">
        <f t="shared" ref="V28:V33" si="2">SUM(C28:U28)</f>
        <v>4</v>
      </c>
      <c r="W28" s="44" t="s">
        <v>47</v>
      </c>
    </row>
    <row r="29" spans="2:23" x14ac:dyDescent="0.2">
      <c r="B29" s="27" t="s">
        <v>42</v>
      </c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>
        <v>7</v>
      </c>
      <c r="N29" s="13"/>
      <c r="O29" s="13"/>
      <c r="P29" s="13"/>
      <c r="Q29" s="13"/>
      <c r="R29" s="13"/>
      <c r="S29" s="13">
        <v>2</v>
      </c>
      <c r="T29" s="13">
        <v>4</v>
      </c>
      <c r="U29" s="13"/>
      <c r="V29" s="28">
        <f t="shared" si="2"/>
        <v>13</v>
      </c>
      <c r="W29" s="44" t="s">
        <v>47</v>
      </c>
    </row>
    <row r="30" spans="2:23" x14ac:dyDescent="0.2">
      <c r="B30" s="27" t="s">
        <v>43</v>
      </c>
      <c r="C30" s="13">
        <v>16</v>
      </c>
      <c r="D30" s="13">
        <v>12</v>
      </c>
      <c r="E30" s="13">
        <v>4</v>
      </c>
      <c r="F30" s="13">
        <v>4</v>
      </c>
      <c r="G30" s="13"/>
      <c r="H30" s="13"/>
      <c r="I30" s="13"/>
      <c r="J30" s="13"/>
      <c r="K30" s="13"/>
      <c r="L30" s="13">
        <v>4</v>
      </c>
      <c r="M30" s="13">
        <v>4</v>
      </c>
      <c r="N30" s="13"/>
      <c r="O30" s="13"/>
      <c r="P30" s="13"/>
      <c r="Q30" s="13"/>
      <c r="R30" s="13"/>
      <c r="S30" s="13"/>
      <c r="T30" s="13"/>
      <c r="U30" s="13"/>
      <c r="V30" s="28">
        <f t="shared" si="2"/>
        <v>44</v>
      </c>
      <c r="W30" s="44" t="s">
        <v>47</v>
      </c>
    </row>
    <row r="31" spans="2:23" x14ac:dyDescent="0.2">
      <c r="B31" s="27" t="s">
        <v>44</v>
      </c>
      <c r="C31" s="13"/>
      <c r="D31" s="13"/>
      <c r="E31" s="13"/>
      <c r="F31" s="13">
        <v>2</v>
      </c>
      <c r="G31" s="13"/>
      <c r="H31" s="13"/>
      <c r="I31" s="13"/>
      <c r="J31" s="13">
        <v>4</v>
      </c>
      <c r="K31" s="13"/>
      <c r="L31" s="13"/>
      <c r="M31" s="13"/>
      <c r="N31" s="13"/>
      <c r="O31" s="13">
        <v>6</v>
      </c>
      <c r="P31" s="13">
        <v>6</v>
      </c>
      <c r="Q31" s="13">
        <v>6</v>
      </c>
      <c r="R31" s="13">
        <v>4</v>
      </c>
      <c r="S31" s="13"/>
      <c r="T31" s="13"/>
      <c r="U31" s="13"/>
      <c r="V31" s="28">
        <f t="shared" si="2"/>
        <v>28</v>
      </c>
      <c r="W31" s="44" t="s">
        <v>47</v>
      </c>
    </row>
    <row r="32" spans="2:23" x14ac:dyDescent="0.2">
      <c r="B32" s="27" t="s">
        <v>45</v>
      </c>
      <c r="C32" s="13"/>
      <c r="D32" s="13"/>
      <c r="E32" s="13"/>
      <c r="F32" s="13"/>
      <c r="G32" s="13"/>
      <c r="H32" s="13"/>
      <c r="I32" s="13">
        <v>2</v>
      </c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28">
        <f t="shared" si="2"/>
        <v>2</v>
      </c>
      <c r="W32" s="44" t="s">
        <v>47</v>
      </c>
    </row>
    <row r="33" spans="2:23" x14ac:dyDescent="0.2">
      <c r="B33" s="27" t="s">
        <v>46</v>
      </c>
      <c r="C33" s="13"/>
      <c r="D33" s="13"/>
      <c r="E33" s="13"/>
      <c r="F33" s="13"/>
      <c r="G33" s="13"/>
      <c r="H33" s="13"/>
      <c r="I33" s="13"/>
      <c r="J33" s="13">
        <v>1</v>
      </c>
      <c r="K33" s="13"/>
      <c r="L33" s="13"/>
      <c r="M33" s="13">
        <v>1</v>
      </c>
      <c r="N33" s="13">
        <v>1</v>
      </c>
      <c r="O33" s="13"/>
      <c r="P33" s="13"/>
      <c r="Q33" s="13"/>
      <c r="R33" s="13"/>
      <c r="S33" s="13"/>
      <c r="T33" s="13"/>
      <c r="U33" s="13">
        <v>2</v>
      </c>
      <c r="V33" s="28">
        <f t="shared" si="2"/>
        <v>5</v>
      </c>
      <c r="W33" s="41" t="s">
        <v>47</v>
      </c>
    </row>
    <row r="34" spans="2:23" x14ac:dyDescent="0.2">
      <c r="B34" s="3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</row>
    <row r="35" spans="2:23" x14ac:dyDescent="0.2">
      <c r="B35" s="27" t="s">
        <v>48</v>
      </c>
      <c r="C35" s="13">
        <v>8</v>
      </c>
      <c r="D35" s="13"/>
      <c r="E35" s="13">
        <v>10</v>
      </c>
      <c r="F35" s="13"/>
      <c r="G35" s="13">
        <v>3</v>
      </c>
      <c r="H35" s="13">
        <v>7</v>
      </c>
      <c r="I35" s="13"/>
      <c r="J35" s="13"/>
      <c r="K35" s="13"/>
      <c r="L35" s="13">
        <v>4</v>
      </c>
      <c r="M35" s="13">
        <v>2</v>
      </c>
      <c r="N35" s="13"/>
      <c r="O35" s="13">
        <v>2</v>
      </c>
      <c r="P35" s="13"/>
      <c r="Q35" s="13"/>
      <c r="R35" s="13">
        <v>4</v>
      </c>
      <c r="S35" s="13"/>
      <c r="T35" s="13">
        <v>2</v>
      </c>
      <c r="U35" s="13"/>
      <c r="V35" s="28">
        <f>SUM(C35:U35)</f>
        <v>42</v>
      </c>
      <c r="W35" s="44" t="s">
        <v>47</v>
      </c>
    </row>
    <row r="36" spans="2:23" x14ac:dyDescent="0.2">
      <c r="B36" s="27" t="s">
        <v>49</v>
      </c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>
        <v>4</v>
      </c>
      <c r="N36" s="13"/>
      <c r="O36" s="13"/>
      <c r="P36" s="13"/>
      <c r="Q36" s="13"/>
      <c r="R36" s="13"/>
      <c r="S36" s="13"/>
      <c r="T36" s="13"/>
      <c r="U36" s="13"/>
      <c r="V36" s="28">
        <f>SUM(C36:U36)</f>
        <v>4</v>
      </c>
      <c r="W36" s="44" t="s">
        <v>47</v>
      </c>
    </row>
  </sheetData>
  <hyperlinks>
    <hyperlink ref="W33" r:id="rId1" xr:uid="{00000000-0004-0000-0200-000000000000}"/>
    <hyperlink ref="W23" r:id="rId2" xr:uid="{D4970EFA-F239-B244-9A97-D17FF5EA3F5E}"/>
    <hyperlink ref="W16" r:id="rId3" xr:uid="{41C8B5AC-78AC-FA4F-A84B-84FCEB3FB7B8}"/>
    <hyperlink ref="W17" r:id="rId4" xr:uid="{7069B951-115D-4748-BE11-B8202906ED20}"/>
    <hyperlink ref="W18" r:id="rId5" xr:uid="{A513AC80-80DB-B74B-BA6C-80E57C2FE00C}"/>
    <hyperlink ref="W19" r:id="rId6" xr:uid="{4413EDBC-573F-3542-8F46-024445A4A6F9}"/>
    <hyperlink ref="W20" r:id="rId7" xr:uid="{55D16F3E-F44E-8D46-B3A0-4D304473AD81}"/>
    <hyperlink ref="W21" r:id="rId8" xr:uid="{344A1F5B-9010-1544-9EB2-44D052713B89}"/>
    <hyperlink ref="W4" r:id="rId9" xr:uid="{2EC70821-FD32-9E4A-9CDA-CC582A7F1412}"/>
    <hyperlink ref="W5" r:id="rId10" xr:uid="{BE73B147-F96E-C448-B9D3-2EE8288D3599}"/>
    <hyperlink ref="W6" r:id="rId11" xr:uid="{DC0D85F1-0760-3D46-B1A3-738BE87435AA}"/>
    <hyperlink ref="W7" r:id="rId12" xr:uid="{11D2EE54-94CA-5B44-B483-8BF82C4C29C6}"/>
    <hyperlink ref="W8" r:id="rId13" xr:uid="{296A039F-17E7-3A4E-80AC-47223156CC2E}"/>
    <hyperlink ref="W9" r:id="rId14" xr:uid="{B2662681-A0CA-4C4D-B97C-7B66C9645A21}"/>
    <hyperlink ref="W10" r:id="rId15" xr:uid="{0824D3E4-6E3F-774C-952E-17BE85D085FD}"/>
    <hyperlink ref="W35" r:id="rId16" xr:uid="{F5184AB3-42DD-9740-9D0D-C3AAC4DEF4B5}"/>
    <hyperlink ref="W36" r:id="rId17" xr:uid="{56DB017D-E87F-3B41-8958-82D2240A6B8B}"/>
    <hyperlink ref="W32" r:id="rId18" xr:uid="{AB4661C2-B578-DF42-87FB-B7D577EBCD8A}"/>
    <hyperlink ref="W31" r:id="rId19" xr:uid="{5DBF5B50-6CD2-D94C-815C-10F6A9C68611}"/>
    <hyperlink ref="W28" r:id="rId20" xr:uid="{7B2924EB-78D1-A14F-A02B-8D019CECDACB}"/>
    <hyperlink ref="W29" r:id="rId21" xr:uid="{AC6DB6F6-5934-C74C-91E0-E73679FB8E03}"/>
    <hyperlink ref="W25" r:id="rId22" xr:uid="{FE5F8A53-6159-B446-816A-933DB192CA2A}"/>
    <hyperlink ref="W26" r:id="rId23" xr:uid="{4817D2E4-B9D6-6541-8F62-93D23FE865FB}"/>
    <hyperlink ref="W12" r:id="rId24" xr:uid="{4F48171E-A6A1-4445-B5E1-9DF003362EBA}"/>
    <hyperlink ref="W14" r:id="rId25" xr:uid="{E78304E5-8BA0-D840-A722-6907039E9321}"/>
    <hyperlink ref="W3" r:id="rId26" xr:uid="{B92B3269-C240-6049-9596-633DC4F8EC9F}"/>
    <hyperlink ref="W30" r:id="rId27" xr:uid="{F8A40530-50F4-584C-AA9B-74CE67E0B14D}"/>
    <hyperlink ref="W13" r:id="rId28" xr:uid="{6163CBC9-F4B4-AB47-A272-5B6991F784D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Parts</vt:lpstr>
      <vt:lpstr>Nuts&amp;Bolts</vt:lpstr>
      <vt:lpstr>Nuts&amp;Bolts-List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Colin Bradburne</dc:creator>
  <cp:lastModifiedBy>Colin Bradburne</cp:lastModifiedBy>
  <dcterms:created xsi:type="dcterms:W3CDTF">2025-04-06T17:27:24Z</dcterms:created>
  <dcterms:modified xsi:type="dcterms:W3CDTF">2026-07-27T20:06:32Z</dcterms:modified>
</cp:coreProperties>
</file>