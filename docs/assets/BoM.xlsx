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/New CC v2/docs/assets/"/>
    </mc:Choice>
  </mc:AlternateContent>
  <xr:revisionPtr revIDLastSave="0" documentId="13_ncr:1_{669B2BFE-B315-564B-84D4-A8B61C5EF1E8}" xr6:coauthVersionLast="47" xr6:coauthVersionMax="47" xr10:uidLastSave="{00000000-0000-0000-0000-000000000000}"/>
  <bookViews>
    <workbookView xWindow="0" yWindow="800" windowWidth="36000" windowHeight="22580" xr2:uid="{7D7507C8-E512-8F40-AC52-54E4FCE5CD5C}"/>
  </bookViews>
  <sheets>
    <sheet name="Parts" sheetId="1" r:id="rId1"/>
    <sheet name="Nuts&amp;Bolts" sheetId="2" r:id="rId2"/>
    <sheet name="Nuts&amp;Bolts-Lis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3" l="1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11" i="3"/>
  <c r="K12" i="3"/>
  <c r="K32" i="3"/>
  <c r="K33" i="3"/>
  <c r="K34" i="3"/>
  <c r="K4" i="3"/>
  <c r="K5" i="3"/>
  <c r="K6" i="3"/>
  <c r="K7" i="3"/>
  <c r="K8" i="3"/>
  <c r="K9" i="3"/>
  <c r="K10" i="3"/>
  <c r="K3" i="3"/>
  <c r="T12" i="3"/>
  <c r="S12" i="3"/>
  <c r="R12" i="3"/>
  <c r="Q12" i="3"/>
  <c r="P12" i="3"/>
  <c r="O12" i="3"/>
  <c r="N12" i="3"/>
  <c r="M12" i="3"/>
  <c r="J12" i="3"/>
  <c r="I12" i="3"/>
  <c r="H12" i="3"/>
  <c r="G12" i="3"/>
  <c r="F12" i="3"/>
  <c r="E12" i="3"/>
  <c r="D12" i="3"/>
  <c r="C12" i="3"/>
  <c r="T5" i="3"/>
  <c r="S5" i="3"/>
  <c r="R5" i="3"/>
  <c r="Q5" i="3"/>
  <c r="P5" i="3"/>
  <c r="O5" i="3"/>
  <c r="N5" i="3"/>
  <c r="M5" i="3"/>
  <c r="J5" i="3"/>
  <c r="I5" i="3"/>
  <c r="H5" i="3"/>
  <c r="G5" i="3"/>
  <c r="F5" i="3"/>
  <c r="E5" i="3"/>
  <c r="D5" i="3"/>
  <c r="C5" i="3"/>
  <c r="T25" i="3"/>
  <c r="S25" i="3"/>
  <c r="R25" i="3"/>
  <c r="Q25" i="3"/>
  <c r="P25" i="3"/>
  <c r="O25" i="3"/>
  <c r="N25" i="3"/>
  <c r="M25" i="3"/>
  <c r="J25" i="3"/>
  <c r="I25" i="3"/>
  <c r="H25" i="3"/>
  <c r="G25" i="3"/>
  <c r="F25" i="3"/>
  <c r="E25" i="3"/>
  <c r="D25" i="3"/>
  <c r="C25" i="3"/>
  <c r="T13" i="3"/>
  <c r="S13" i="3"/>
  <c r="R13" i="3"/>
  <c r="Q13" i="3"/>
  <c r="P13" i="3"/>
  <c r="O13" i="3"/>
  <c r="N13" i="3"/>
  <c r="M13" i="3"/>
  <c r="J13" i="3"/>
  <c r="I13" i="3"/>
  <c r="H13" i="3"/>
  <c r="G13" i="3"/>
  <c r="F13" i="3"/>
  <c r="E13" i="3"/>
  <c r="D13" i="3"/>
  <c r="C13" i="3"/>
  <c r="V13" i="3"/>
  <c r="T4" i="3"/>
  <c r="T6" i="3"/>
  <c r="T7" i="3"/>
  <c r="T8" i="3"/>
  <c r="T9" i="3"/>
  <c r="T10" i="3"/>
  <c r="T11" i="3"/>
  <c r="T14" i="3"/>
  <c r="T15" i="3"/>
  <c r="T16" i="3"/>
  <c r="T17" i="3"/>
  <c r="T18" i="3"/>
  <c r="T19" i="3"/>
  <c r="T20" i="3"/>
  <c r="T21" i="3"/>
  <c r="T22" i="3"/>
  <c r="T23" i="3"/>
  <c r="T24" i="3"/>
  <c r="T26" i="3"/>
  <c r="T27" i="3"/>
  <c r="T28" i="3"/>
  <c r="T29" i="3"/>
  <c r="T30" i="3"/>
  <c r="T31" i="3"/>
  <c r="T32" i="3"/>
  <c r="T33" i="3"/>
  <c r="T34" i="3"/>
  <c r="T3" i="3"/>
  <c r="S4" i="3"/>
  <c r="S6" i="3"/>
  <c r="S7" i="3"/>
  <c r="S8" i="3"/>
  <c r="S9" i="3"/>
  <c r="S10" i="3"/>
  <c r="S11" i="3"/>
  <c r="S14" i="3"/>
  <c r="S15" i="3"/>
  <c r="S16" i="3"/>
  <c r="S17" i="3"/>
  <c r="S18" i="3"/>
  <c r="S19" i="3"/>
  <c r="S20" i="3"/>
  <c r="S21" i="3"/>
  <c r="S22" i="3"/>
  <c r="S23" i="3"/>
  <c r="S24" i="3"/>
  <c r="S26" i="3"/>
  <c r="S27" i="3"/>
  <c r="S28" i="3"/>
  <c r="S29" i="3"/>
  <c r="S30" i="3"/>
  <c r="S31" i="3"/>
  <c r="S32" i="3"/>
  <c r="S33" i="3"/>
  <c r="S34" i="3"/>
  <c r="S3" i="3"/>
  <c r="R4" i="3"/>
  <c r="R6" i="3"/>
  <c r="R7" i="3"/>
  <c r="R8" i="3"/>
  <c r="R9" i="3"/>
  <c r="R10" i="3"/>
  <c r="R11" i="3"/>
  <c r="R14" i="3"/>
  <c r="R15" i="3"/>
  <c r="R16" i="3"/>
  <c r="R17" i="3"/>
  <c r="R18" i="3"/>
  <c r="R19" i="3"/>
  <c r="R20" i="3"/>
  <c r="R21" i="3"/>
  <c r="R22" i="3"/>
  <c r="R23" i="3"/>
  <c r="R24" i="3"/>
  <c r="R26" i="3"/>
  <c r="R27" i="3"/>
  <c r="R28" i="3"/>
  <c r="R29" i="3"/>
  <c r="R30" i="3"/>
  <c r="R31" i="3"/>
  <c r="R32" i="3"/>
  <c r="R33" i="3"/>
  <c r="R34" i="3"/>
  <c r="R3" i="3"/>
  <c r="Q4" i="3"/>
  <c r="Q6" i="3"/>
  <c r="Q7" i="3"/>
  <c r="Q8" i="3"/>
  <c r="Q9" i="3"/>
  <c r="Q10" i="3"/>
  <c r="Q11" i="3"/>
  <c r="Q14" i="3"/>
  <c r="Q15" i="3"/>
  <c r="Q16" i="3"/>
  <c r="Q17" i="3"/>
  <c r="Q18" i="3"/>
  <c r="Q19" i="3"/>
  <c r="Q20" i="3"/>
  <c r="Q21" i="3"/>
  <c r="Q22" i="3"/>
  <c r="Q23" i="3"/>
  <c r="Q24" i="3"/>
  <c r="Q26" i="3"/>
  <c r="Q27" i="3"/>
  <c r="Q28" i="3"/>
  <c r="Q29" i="3"/>
  <c r="Q30" i="3"/>
  <c r="Q31" i="3"/>
  <c r="Q32" i="3"/>
  <c r="Q33" i="3"/>
  <c r="Q34" i="3"/>
  <c r="Q3" i="3"/>
  <c r="P4" i="3"/>
  <c r="P6" i="3"/>
  <c r="P7" i="3"/>
  <c r="P8" i="3"/>
  <c r="P9" i="3"/>
  <c r="P10" i="3"/>
  <c r="P11" i="3"/>
  <c r="P14" i="3"/>
  <c r="P15" i="3"/>
  <c r="P16" i="3"/>
  <c r="P17" i="3"/>
  <c r="P18" i="3"/>
  <c r="P19" i="3"/>
  <c r="P20" i="3"/>
  <c r="P21" i="3"/>
  <c r="P22" i="3"/>
  <c r="P23" i="3"/>
  <c r="P24" i="3"/>
  <c r="P26" i="3"/>
  <c r="P27" i="3"/>
  <c r="P28" i="3"/>
  <c r="P29" i="3"/>
  <c r="P30" i="3"/>
  <c r="P31" i="3"/>
  <c r="P32" i="3"/>
  <c r="P33" i="3"/>
  <c r="P34" i="3"/>
  <c r="P3" i="3"/>
  <c r="O4" i="3"/>
  <c r="O6" i="3"/>
  <c r="O7" i="3"/>
  <c r="O8" i="3"/>
  <c r="O9" i="3"/>
  <c r="O10" i="3"/>
  <c r="O11" i="3"/>
  <c r="O14" i="3"/>
  <c r="O15" i="3"/>
  <c r="O16" i="3"/>
  <c r="O17" i="3"/>
  <c r="O18" i="3"/>
  <c r="O19" i="3"/>
  <c r="O20" i="3"/>
  <c r="O21" i="3"/>
  <c r="O22" i="3"/>
  <c r="O23" i="3"/>
  <c r="O24" i="3"/>
  <c r="O26" i="3"/>
  <c r="O27" i="3"/>
  <c r="O28" i="3"/>
  <c r="O29" i="3"/>
  <c r="O30" i="3"/>
  <c r="O31" i="3"/>
  <c r="O32" i="3"/>
  <c r="O33" i="3"/>
  <c r="O34" i="3"/>
  <c r="O3" i="3"/>
  <c r="N4" i="3"/>
  <c r="N6" i="3"/>
  <c r="N7" i="3"/>
  <c r="N8" i="3"/>
  <c r="N9" i="3"/>
  <c r="N10" i="3"/>
  <c r="N11" i="3"/>
  <c r="N14" i="3"/>
  <c r="N15" i="3"/>
  <c r="N16" i="3"/>
  <c r="N17" i="3"/>
  <c r="N18" i="3"/>
  <c r="N19" i="3"/>
  <c r="N20" i="3"/>
  <c r="N21" i="3"/>
  <c r="N22" i="3"/>
  <c r="N23" i="3"/>
  <c r="N24" i="3"/>
  <c r="N26" i="3"/>
  <c r="N27" i="3"/>
  <c r="N28" i="3"/>
  <c r="N29" i="3"/>
  <c r="N30" i="3"/>
  <c r="N31" i="3"/>
  <c r="N32" i="3"/>
  <c r="N33" i="3"/>
  <c r="N34" i="3"/>
  <c r="N3" i="3"/>
  <c r="M4" i="3"/>
  <c r="M6" i="3"/>
  <c r="M7" i="3"/>
  <c r="M8" i="3"/>
  <c r="M9" i="3"/>
  <c r="M10" i="3"/>
  <c r="M11" i="3"/>
  <c r="M14" i="3"/>
  <c r="M15" i="3"/>
  <c r="M16" i="3"/>
  <c r="M17" i="3"/>
  <c r="M18" i="3"/>
  <c r="M19" i="3"/>
  <c r="M20" i="3"/>
  <c r="M21" i="3"/>
  <c r="M22" i="3"/>
  <c r="M23" i="3"/>
  <c r="M24" i="3"/>
  <c r="M26" i="3"/>
  <c r="M27" i="3"/>
  <c r="M28" i="3"/>
  <c r="M29" i="3"/>
  <c r="M30" i="3"/>
  <c r="M31" i="3"/>
  <c r="M32" i="3"/>
  <c r="M33" i="3"/>
  <c r="M34" i="3"/>
  <c r="M3" i="3"/>
  <c r="I4" i="3"/>
  <c r="I6" i="3"/>
  <c r="I7" i="3"/>
  <c r="I8" i="3"/>
  <c r="I9" i="3"/>
  <c r="I10" i="3"/>
  <c r="I11" i="3"/>
  <c r="I14" i="3"/>
  <c r="I15" i="3"/>
  <c r="I16" i="3"/>
  <c r="I17" i="3"/>
  <c r="I18" i="3"/>
  <c r="I19" i="3"/>
  <c r="I20" i="3"/>
  <c r="I21" i="3"/>
  <c r="I22" i="3"/>
  <c r="I23" i="3"/>
  <c r="I24" i="3"/>
  <c r="I26" i="3"/>
  <c r="I27" i="3"/>
  <c r="I28" i="3"/>
  <c r="I29" i="3"/>
  <c r="I30" i="3"/>
  <c r="I31" i="3"/>
  <c r="I32" i="3"/>
  <c r="I33" i="3"/>
  <c r="I34" i="3"/>
  <c r="I3" i="3"/>
  <c r="H4" i="3"/>
  <c r="H6" i="3"/>
  <c r="H7" i="3"/>
  <c r="H8" i="3"/>
  <c r="H9" i="3"/>
  <c r="H10" i="3"/>
  <c r="H11" i="3"/>
  <c r="H14" i="3"/>
  <c r="H15" i="3"/>
  <c r="H16" i="3"/>
  <c r="H17" i="3"/>
  <c r="H18" i="3"/>
  <c r="H19" i="3"/>
  <c r="H20" i="3"/>
  <c r="H21" i="3"/>
  <c r="H22" i="3"/>
  <c r="H23" i="3"/>
  <c r="H24" i="3"/>
  <c r="H26" i="3"/>
  <c r="H27" i="3"/>
  <c r="H28" i="3"/>
  <c r="H29" i="3"/>
  <c r="H30" i="3"/>
  <c r="H31" i="3"/>
  <c r="H32" i="3"/>
  <c r="H33" i="3"/>
  <c r="H34" i="3"/>
  <c r="H3" i="3"/>
  <c r="J4" i="3"/>
  <c r="J6" i="3"/>
  <c r="J7" i="3"/>
  <c r="J8" i="3"/>
  <c r="J9" i="3"/>
  <c r="J10" i="3"/>
  <c r="J11" i="3"/>
  <c r="J14" i="3"/>
  <c r="J15" i="3"/>
  <c r="J16" i="3"/>
  <c r="J17" i="3"/>
  <c r="J18" i="3"/>
  <c r="J19" i="3"/>
  <c r="J20" i="3"/>
  <c r="J21" i="3"/>
  <c r="J22" i="3"/>
  <c r="J23" i="3"/>
  <c r="J24" i="3"/>
  <c r="J26" i="3"/>
  <c r="J27" i="3"/>
  <c r="J28" i="3"/>
  <c r="J29" i="3"/>
  <c r="J30" i="3"/>
  <c r="J31" i="3"/>
  <c r="J32" i="3"/>
  <c r="J33" i="3"/>
  <c r="J34" i="3"/>
  <c r="J3" i="3"/>
  <c r="G4" i="3"/>
  <c r="G6" i="3"/>
  <c r="G7" i="3"/>
  <c r="G8" i="3"/>
  <c r="G9" i="3"/>
  <c r="G10" i="3"/>
  <c r="G11" i="3"/>
  <c r="G14" i="3"/>
  <c r="G15" i="3"/>
  <c r="G16" i="3"/>
  <c r="G17" i="3"/>
  <c r="G18" i="3"/>
  <c r="G19" i="3"/>
  <c r="G20" i="3"/>
  <c r="G21" i="3"/>
  <c r="G22" i="3"/>
  <c r="G23" i="3"/>
  <c r="G24" i="3"/>
  <c r="G26" i="3"/>
  <c r="G27" i="3"/>
  <c r="G28" i="3"/>
  <c r="G29" i="3"/>
  <c r="G30" i="3"/>
  <c r="G31" i="3"/>
  <c r="G32" i="3"/>
  <c r="G33" i="3"/>
  <c r="G34" i="3"/>
  <c r="G3" i="3"/>
  <c r="F4" i="3"/>
  <c r="F6" i="3"/>
  <c r="F7" i="3"/>
  <c r="F8" i="3"/>
  <c r="F9" i="3"/>
  <c r="F10" i="3"/>
  <c r="F11" i="3"/>
  <c r="F14" i="3"/>
  <c r="F15" i="3"/>
  <c r="F16" i="3"/>
  <c r="F17" i="3"/>
  <c r="F18" i="3"/>
  <c r="F19" i="3"/>
  <c r="F20" i="3"/>
  <c r="F21" i="3"/>
  <c r="F22" i="3"/>
  <c r="F23" i="3"/>
  <c r="F24" i="3"/>
  <c r="F26" i="3"/>
  <c r="F27" i="3"/>
  <c r="F28" i="3"/>
  <c r="F29" i="3"/>
  <c r="F30" i="3"/>
  <c r="F31" i="3"/>
  <c r="F32" i="3"/>
  <c r="F33" i="3"/>
  <c r="F34" i="3"/>
  <c r="F3" i="3"/>
  <c r="E4" i="3"/>
  <c r="E6" i="3"/>
  <c r="E7" i="3"/>
  <c r="E8" i="3"/>
  <c r="E9" i="3"/>
  <c r="E10" i="3"/>
  <c r="E11" i="3"/>
  <c r="E14" i="3"/>
  <c r="E15" i="3"/>
  <c r="E16" i="3"/>
  <c r="E17" i="3"/>
  <c r="E18" i="3"/>
  <c r="E19" i="3"/>
  <c r="E20" i="3"/>
  <c r="E21" i="3"/>
  <c r="E22" i="3"/>
  <c r="E23" i="3"/>
  <c r="E24" i="3"/>
  <c r="E26" i="3"/>
  <c r="E27" i="3"/>
  <c r="E28" i="3"/>
  <c r="E29" i="3"/>
  <c r="E30" i="3"/>
  <c r="E31" i="3"/>
  <c r="E32" i="3"/>
  <c r="E33" i="3"/>
  <c r="E34" i="3"/>
  <c r="E3" i="3"/>
  <c r="D4" i="3"/>
  <c r="D6" i="3"/>
  <c r="D7" i="3"/>
  <c r="D8" i="3"/>
  <c r="D9" i="3"/>
  <c r="D10" i="3"/>
  <c r="D11" i="3"/>
  <c r="D14" i="3"/>
  <c r="D15" i="3"/>
  <c r="D16" i="3"/>
  <c r="D17" i="3"/>
  <c r="D18" i="3"/>
  <c r="D19" i="3"/>
  <c r="D20" i="3"/>
  <c r="D21" i="3"/>
  <c r="D22" i="3"/>
  <c r="D23" i="3"/>
  <c r="D24" i="3"/>
  <c r="D26" i="3"/>
  <c r="D27" i="3"/>
  <c r="D28" i="3"/>
  <c r="D29" i="3"/>
  <c r="D30" i="3"/>
  <c r="D31" i="3"/>
  <c r="D32" i="3"/>
  <c r="D33" i="3"/>
  <c r="D34" i="3"/>
  <c r="D3" i="3"/>
  <c r="C4" i="3"/>
  <c r="C6" i="3"/>
  <c r="C7" i="3"/>
  <c r="C8" i="3"/>
  <c r="C9" i="3"/>
  <c r="C10" i="3"/>
  <c r="C11" i="3"/>
  <c r="C14" i="3"/>
  <c r="C15" i="3"/>
  <c r="C16" i="3"/>
  <c r="C17" i="3"/>
  <c r="C18" i="3"/>
  <c r="C19" i="3"/>
  <c r="C20" i="3"/>
  <c r="C21" i="3"/>
  <c r="C22" i="3"/>
  <c r="C23" i="3"/>
  <c r="C24" i="3"/>
  <c r="C26" i="3"/>
  <c r="C27" i="3"/>
  <c r="C28" i="3"/>
  <c r="C29" i="3"/>
  <c r="C30" i="3"/>
  <c r="C31" i="3"/>
  <c r="C32" i="3"/>
  <c r="C33" i="3"/>
  <c r="C34" i="3"/>
  <c r="C3" i="3"/>
</calcChain>
</file>

<file path=xl/sharedStrings.xml><?xml version="1.0" encoding="utf-8"?>
<sst xmlns="http://schemas.openxmlformats.org/spreadsheetml/2006/main" count="296" uniqueCount="177">
  <si>
    <t>Circuit</t>
  </si>
  <si>
    <t>TMC2209</t>
  </si>
  <si>
    <t>Quantity</t>
  </si>
  <si>
    <t>1n4007</t>
  </si>
  <si>
    <t>Header Sockets</t>
  </si>
  <si>
    <t>Header Pins</t>
  </si>
  <si>
    <t>GT2 Pulley - 36 tooth</t>
  </si>
  <si>
    <t>GT2 Belt - 5m</t>
  </si>
  <si>
    <t>Mount</t>
  </si>
  <si>
    <t>Slider</t>
  </si>
  <si>
    <t>SDI Panel monut coupler</t>
  </si>
  <si>
    <t>HDMI Keystone coupler</t>
  </si>
  <si>
    <t>F688ZZ Flanged Bearing 8 x 16 x 5mm</t>
  </si>
  <si>
    <t>V Slot Pulley Wheels 625zz</t>
  </si>
  <si>
    <t>Nema14 Round Pancake Stepper Motor 0.9 deg</t>
  </si>
  <si>
    <t>M3 Nyloc Nut</t>
  </si>
  <si>
    <t>M3 Insert</t>
  </si>
  <si>
    <t>M5 Nyloc Nut</t>
  </si>
  <si>
    <t>M3 x 45</t>
  </si>
  <si>
    <t>M3 x 20</t>
  </si>
  <si>
    <t>M3 x 12</t>
  </si>
  <si>
    <t>M3 Washer</t>
  </si>
  <si>
    <t>M3 x 8</t>
  </si>
  <si>
    <t>M3 x 10</t>
  </si>
  <si>
    <t>M3 x 30</t>
  </si>
  <si>
    <t>Base + Topper + Ports</t>
  </si>
  <si>
    <t>Inner</t>
  </si>
  <si>
    <t>Upper</t>
  </si>
  <si>
    <t>M3 Counter Sunk x 10</t>
  </si>
  <si>
    <t>M3 x 16</t>
  </si>
  <si>
    <t>M5 x 20</t>
  </si>
  <si>
    <t>Camera Focus + Converter</t>
  </si>
  <si>
    <t>Bearings</t>
  </si>
  <si>
    <t>Side-Support</t>
  </si>
  <si>
    <t>Side-Motor</t>
  </si>
  <si>
    <t>M8 x 25</t>
  </si>
  <si>
    <t>M8 Washer</t>
  </si>
  <si>
    <t>M8 Domed Nut</t>
  </si>
  <si>
    <t>1/4” Camera Thumb Screw</t>
  </si>
  <si>
    <t>Camera</t>
  </si>
  <si>
    <t>M5 x 30</t>
  </si>
  <si>
    <t>Tripod Mount</t>
  </si>
  <si>
    <t>M3 x 25</t>
  </si>
  <si>
    <t>M5 x 25</t>
  </si>
  <si>
    <t>M5 Washer</t>
  </si>
  <si>
    <t>M5 x 35</t>
  </si>
  <si>
    <t>(drag-side)</t>
  </si>
  <si>
    <t>M5 x 45</t>
  </si>
  <si>
    <t>(motor-wheels)</t>
  </si>
  <si>
    <t>M5 x 55</t>
  </si>
  <si>
    <t>(bottom-wheels)</t>
  </si>
  <si>
    <t>(optional cover)</t>
  </si>
  <si>
    <t>(drag-wheels)</t>
  </si>
  <si>
    <t>(top-wheels)</t>
  </si>
  <si>
    <t>Rail End-Comms</t>
  </si>
  <si>
    <t>Rail End</t>
  </si>
  <si>
    <t>Rail Bottom</t>
  </si>
  <si>
    <t>Rail Top</t>
  </si>
  <si>
    <t>Rail Side Drag</t>
  </si>
  <si>
    <t>Rail Side Motor</t>
  </si>
  <si>
    <t>Rail Drag Arm</t>
  </si>
  <si>
    <t>Rail Drag Clip</t>
  </si>
  <si>
    <t>-</t>
  </si>
  <si>
    <t>Aluminium Extrusion - 8040 C</t>
  </si>
  <si>
    <t>1000 - 3000mm</t>
  </si>
  <si>
    <t>6824ZZ 120x150x16mm Bearing</t>
  </si>
  <si>
    <t>https://simplybearings.co.uk/shop/p170416/6824ZZ-Budget-Metal-Shielded-Thin-Section-Deep-Groove-Ball-Bearing-120x150x16mm/product_info.html</t>
  </si>
  <si>
    <t>M2.5 Insert</t>
  </si>
  <si>
    <t>M2.5 x 8 CS</t>
  </si>
  <si>
    <t>M5 P Nyloc Nut</t>
  </si>
  <si>
    <t>motor</t>
  </si>
  <si>
    <t>M8 x 45</t>
  </si>
  <si>
    <t>Pulley</t>
  </si>
  <si>
    <t>3/8 UNC Insert</t>
  </si>
  <si>
    <t>Sockets</t>
  </si>
  <si>
    <t>Optional</t>
  </si>
  <si>
    <t>4 Optional</t>
  </si>
  <si>
    <t>Comms Mount</t>
  </si>
  <si>
    <t>M2 Counter Sunk x 6</t>
  </si>
  <si>
    <t>Hub Display</t>
  </si>
  <si>
    <t>Teensy 4.1</t>
  </si>
  <si>
    <t>Nema14 1.8 deg 65Ncm</t>
  </si>
  <si>
    <t>GX12 2 Pin Aviation Connector &amp; Panel Socket</t>
  </si>
  <si>
    <t>GX12 4 Pin Aviation Connector &amp; Panel Socket</t>
  </si>
  <si>
    <t>XT60 Plug Connector Female and Male</t>
  </si>
  <si>
    <t>2.4GHz Antenna</t>
  </si>
  <si>
    <t>U.FL Mini PCI to SMA Female 20cm Lead</t>
  </si>
  <si>
    <t>Idler - 6mm width, 3mm bore, 13mm diameter</t>
  </si>
  <si>
    <t>https://www.amazon.co.uk/dp/B0CD25SZNR?ref_=ppx_hzsearch_conn_dt_b_fed_asin_title_1&amp;th=1</t>
  </si>
  <si>
    <t>https://www.amazon.co.uk/dp/B07X8776QQ?ref_=ppx_hzsearch_conn_dt_b_fed_asin_title_4</t>
  </si>
  <si>
    <t>https://www.amazon.co.uk/dp/B07RCZPRG9?ref_=ppx_hzsearch_conn_dt_b_fed_asin_title_5</t>
  </si>
  <si>
    <t>https://www.amazon.co.uk/dp/B09DS9PJ55?ref_=ppx_hzsearch_conn_dt_b_fed_asin_title_6&amp;th=1</t>
  </si>
  <si>
    <t>GT2 Pulley - 120 tooth, 8mm bore</t>
  </si>
  <si>
    <t>GT2 Pulley - 36 tooth, 5mm bore</t>
  </si>
  <si>
    <t>GT2 Pulley - 16 tooth, 5mm bore</t>
  </si>
  <si>
    <t>GT2 Belt - 580mm loop, 6mm wide</t>
  </si>
  <si>
    <t>GT2 Belt - 350mm loop, 6mm wide</t>
  </si>
  <si>
    <t>https://www.amazon.co.uk/dp/B08SJ5X2HZ?ref_=ppx_hzsearch_conn_dt_b_fed_asin_title_9&amp;th=1</t>
  </si>
  <si>
    <t>https://www.amazon.co.uk/sourcing-map-Timing-Printing-Closed/dp/B0GVKNPKQV/?th=1</t>
  </si>
  <si>
    <t>Nema14 0.9 deg 36Ncm</t>
  </si>
  <si>
    <t>https://www.amazon.co.uk/dp/B0B9RVCDTJ?ref_=ppx_hzsearch_conn_dt_b_fed_asin_title_3</t>
  </si>
  <si>
    <t>https://www.amazon.co.uk/dp/B00PNEQUZ2?ref_=ppx_hzsearch_conn_dt_b_fed_asin_title_1</t>
  </si>
  <si>
    <t>https://www.amazon.co.uk/dp/B00W98OYE4?ref_=ppx_hzsearch_conn_dt_b_fed_asin_title_2</t>
  </si>
  <si>
    <t>https://www.amazon.co.uk/dp/B0CRLSHL1N?ref_=ppx_hzsearch_conn_dt_b_fed_asin_title_1&amp;th=1</t>
  </si>
  <si>
    <t>https://www.amazon.co.uk/dp/B0DX6CD9LN?ref_=ppx_hzsearch_conn_dt_b_fed_asin_title_1&amp;th=1</t>
  </si>
  <si>
    <t>https://www.amazon.co.uk/dp/B0DX5PVGJ9?ref_=ppx_hzsearch_conn_dt_b_fed_asin_title_1&amp;th=1</t>
  </si>
  <si>
    <t>https://www.amazon.co.uk/dp/B07Z8YS2Z7?ref_=ppx_hzsearch_conn_dt_b_fed_asin_title_1&amp;th=1</t>
  </si>
  <si>
    <t>https://www.amazon.co.uk/dp/B0FSCXSPCB?ref_=ppx_hzsearch_conn_dt_b_fed_asin_title_1&amp;th=1</t>
  </si>
  <si>
    <t>https://www.amazon.co.uk/dp/B085HF31K7?ref_=ppx_hzsearch_conn_dt_b_fed_asin_title_1</t>
  </si>
  <si>
    <t>https://www.amazon.co.uk/sourcing-map-Printer-Rollers-High-Speed/dp/B0DNCP6TRB/</t>
  </si>
  <si>
    <t>https://www.amazon.co.uk/dp/B0DTHJ1FS2?ref=ppx_yo2ov_dt_b_fed_asin_title</t>
  </si>
  <si>
    <t>Waveshare ESP32-S3 1.75inch AMOLED Round Touch Display</t>
  </si>
  <si>
    <t>https://www.amazon.co.uk/dp/B0F7XTJ1ZL?ref=ppx_yo2ov_dt_b_fed_asin_title</t>
  </si>
  <si>
    <t>https://www.amazon.co.uk/dp/B0B9RXM7TB?ref=ppx_yo2ov_dt_b_fed_asin_title&amp;th=1</t>
  </si>
  <si>
    <t>https://www.amazon.co.uk/dp/B0BCTSKYQZ?ref=ppx_yo2ov_dt_b_fed_asin_title</t>
  </si>
  <si>
    <t>https://www.amazon.co.uk/dp/B07WC71M4R?ref=ppx_yo2ov_dt_b_fed_asin_title&amp;th=1</t>
  </si>
  <si>
    <t>https://www.amazon.co.uk/dp/B0BYSB66S5?ref=ppx_yo2ov_dt_b_fed_asin_title&amp;th=1</t>
  </si>
  <si>
    <t>Seeed Studio XIAO ESP32S3</t>
  </si>
  <si>
    <t>https://ooznest.co.uk/product/40x80mm-c-beam-t-v-slot-aluminium-extrusion-profile-silver-cut-to-size/?mtke=11</t>
  </si>
  <si>
    <t>https://www.amazon.co.uk/dp/B0GQRJJPFN?ref=ppx_yo2ov_dt_b_fed_asin_title&amp;th=1</t>
  </si>
  <si>
    <t>Sticky Pads Heavy Duty 40x40mm</t>
  </si>
  <si>
    <t>https://www.amazon.co.uk/dp/B00R1JDS1Q?ref=ppx_yo2ov_dt_b_fed_asin_title</t>
  </si>
  <si>
    <t>https://www.amazon.co.uk/dp/B0CFQ2BMPZ?ref=ppx_yo2ov_dt_b_fed_asin_title</t>
  </si>
  <si>
    <t>UGREEN Video Capture Card HDMI to USB C 1080P 60FPS Capture</t>
  </si>
  <si>
    <t>https://www.amazon.co.uk/dp/B0GZZXN23M/</t>
  </si>
  <si>
    <t>https://www.amazon.co.uk/dp/B09LCRCTQG?ref_=ppx_hzsearch_conn_dt_b_fed_asin_title_5</t>
  </si>
  <si>
    <t>https://www.amazon.co.uk/dp/B0CBWZBB63?ref_=ppx_hzsearch_conn_dt_b_fed_asin_title_3&amp;th=1</t>
  </si>
  <si>
    <t>https://www.amazon.co.uk/dp/B0CBWZLB5C?ref_=ppx_hzsearch_conn_dt_b_fed_asin_title_1&amp;th=1</t>
  </si>
  <si>
    <t>JST 4pin Plug + Lead + Socket</t>
  </si>
  <si>
    <t>JST 5pin Plug + Lead + Socket</t>
  </si>
  <si>
    <t>JST 2pin Plug + Lead + Socket</t>
  </si>
  <si>
    <t>https://www.amazon.co.uk/sourcing-map-Connectors-Connector-Electronic/dp/B0G8YZSX2B/</t>
  </si>
  <si>
    <t>https://www.amazon.co.uk/dp/B09Z2BM94R?ref_=ppx_hzsearch_conn_dt_b_fed_asin_title_1</t>
  </si>
  <si>
    <t>5V regulator</t>
  </si>
  <si>
    <t>https://www.amazon.co.uk/sourcing-map-Rectifier-Electronic-Industrial/dp/B0FZFSXY79/</t>
  </si>
  <si>
    <t>100nf 35v</t>
  </si>
  <si>
    <t>https://www.amazon.co.uk/dp/B08MZ1BSN6?ref_=ppx_hzsearch_conn_dt_b_fed_asin_title_3</t>
  </si>
  <si>
    <t>https://www.amazon.co.uk/dp/B0CL73CZPQ/</t>
  </si>
  <si>
    <t>https://www.amazon.co.uk/dp/B0CL6TJZPC/</t>
  </si>
  <si>
    <t>https://www.amazon.co.uk/dp/B09L4XKVQ5/</t>
  </si>
  <si>
    <t>HDMI Cable - 1m</t>
  </si>
  <si>
    <t>HD-SDI Cable - 1m</t>
  </si>
  <si>
    <t>HD-SDI Cable - 1m, Right angle</t>
  </si>
  <si>
    <t>https://www.amazon.co.uk/gp/product/B0CZ3TBTJM/</t>
  </si>
  <si>
    <t>https://www.amazon.co.uk/dp/B07Y9GPG8X/</t>
  </si>
  <si>
    <t>https://www.thomann.co.uk/blackmagic_design_mc_bidirect._sdi_hdmi_3g.htm</t>
  </si>
  <si>
    <t>Blackmagic Design Bi-Directional. SDI/HDMI 3G</t>
  </si>
  <si>
    <t>https://www.amazon.co.uk/dp/B07PLSDPYN/</t>
  </si>
  <si>
    <t>USB-C Cable - 1 Metre (cut and soldered to JST 2pin)</t>
  </si>
  <si>
    <t>CV Tracking</t>
  </si>
  <si>
    <t>https://www.amazon.co.uk/dp/B0D2NMCY7K/</t>
  </si>
  <si>
    <t>Waveshare ESP32-S3 7inch Capacitive Touch LCD</t>
  </si>
  <si>
    <t>https://www.amazon.co.uk/dp/B075R7QBQD/?th=1</t>
  </si>
  <si>
    <t>USB-C Screw Hole Panel Mount</t>
  </si>
  <si>
    <t>Hub</t>
  </si>
  <si>
    <t>Misc</t>
  </si>
  <si>
    <t>https://www.amazon.co.uk/dp/B0792Y2X4K/</t>
  </si>
  <si>
    <t>2 Core Wire - 30m, 20awg</t>
  </si>
  <si>
    <t>https://www.amazon.co.uk/dp/B0CP6XLLX8/</t>
  </si>
  <si>
    <t>4 Core Wire - 10m, 24awg</t>
  </si>
  <si>
    <t>HDMI Cable, 2m - 4m</t>
  </si>
  <si>
    <t>HD-SDI Cable, 1m - 4m</t>
  </si>
  <si>
    <t>HD-SDI Cable, 2m - 4m</t>
  </si>
  <si>
    <t>https://www.amazon.co.uk/dp/B09ZRTQXXT/?th=1</t>
  </si>
  <si>
    <t>https://www.amazon.co.uk/dp/B07VRBYT1N/</t>
  </si>
  <si>
    <t>Pack</t>
  </si>
  <si>
    <t>Screw PCB terminals 5.08mm 2pin</t>
  </si>
  <si>
    <t>SDI Panel mount coupler</t>
  </si>
  <si>
    <t>10K ¼W</t>
  </si>
  <si>
    <t>100K ¼W</t>
  </si>
  <si>
    <t>https://www.amazon.co.uk/dp/B07SX1N19C/?th=1</t>
  </si>
  <si>
    <t>Mount - HDMI</t>
  </si>
  <si>
    <t>Mount - SDI</t>
  </si>
  <si>
    <t>Mount - BMD Converter</t>
  </si>
  <si>
    <t>Slider - HDMI</t>
  </si>
  <si>
    <t>Slider - SDI</t>
  </si>
  <si>
    <t>Slider - BMD Converter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</si>
</sst>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rgb="FF000000"/>
      <name val="Helvetica Neue"/>
      <family val="2"/>
    </font>
    <font>
      <u/>
      <sz val="12"/>
      <color theme="10"/>
      <name val="Aptos Narrow"/>
      <family val="2"/>
      <scheme val="minor"/>
    </font>
    <font>
      <sz val="12"/>
      <color theme="1"/>
      <name val="Helvetica Neue"/>
      <family val="2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1" fillId="0" borderId="3" xfId="0" applyFont="1" applyBorder="1"/>
    <xf numFmtId="0" fontId="1" fillId="0" borderId="5" xfId="0" applyFont="1" applyBorder="1"/>
    <xf numFmtId="0" fontId="0" fillId="0" borderId="1" xfId="0" applyBorder="1"/>
    <xf numFmtId="0" fontId="0" fillId="0" borderId="7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8" xfId="0" applyBorder="1"/>
    <xf numFmtId="0" fontId="0" fillId="0" borderId="6" xfId="0" applyBorder="1"/>
    <xf numFmtId="0" fontId="0" fillId="0" borderId="9" xfId="0" applyBorder="1"/>
    <xf numFmtId="0" fontId="2" fillId="0" borderId="7" xfId="0" applyFont="1" applyBorder="1"/>
    <xf numFmtId="0" fontId="2" fillId="0" borderId="2" xfId="0" applyFont="1" applyBorder="1"/>
    <xf numFmtId="0" fontId="1" fillId="2" borderId="3" xfId="0" applyFont="1" applyFill="1" applyBorder="1"/>
    <xf numFmtId="0" fontId="0" fillId="2" borderId="0" xfId="0" applyFill="1"/>
    <xf numFmtId="0" fontId="0" fillId="2" borderId="4" xfId="0" applyFill="1" applyBorder="1"/>
    <xf numFmtId="0" fontId="3" fillId="0" borderId="0" xfId="1"/>
    <xf numFmtId="0" fontId="4" fillId="0" borderId="0" xfId="0" applyFont="1"/>
    <xf numFmtId="0" fontId="4" fillId="0" borderId="3" xfId="0" applyFont="1" applyBorder="1"/>
    <xf numFmtId="0" fontId="4" fillId="0" borderId="4" xfId="0" applyFont="1" applyBorder="1"/>
    <xf numFmtId="0" fontId="4" fillId="0" borderId="6" xfId="0" applyFont="1" applyBorder="1"/>
    <xf numFmtId="0" fontId="4" fillId="0" borderId="2" xfId="0" applyFont="1" applyBorder="1"/>
    <xf numFmtId="0" fontId="2" fillId="0" borderId="1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8" xfId="0" applyFont="1" applyBorder="1"/>
    <xf numFmtId="0" fontId="2" fillId="0" borderId="12" xfId="0" applyFont="1" applyBorder="1"/>
    <xf numFmtId="0" fontId="4" fillId="0" borderId="10" xfId="0" applyFont="1" applyBorder="1"/>
    <xf numFmtId="0" fontId="4" fillId="0" borderId="11" xfId="0" applyFont="1" applyBorder="1"/>
    <xf numFmtId="0" fontId="3" fillId="0" borderId="0" xfId="1" applyBorder="1"/>
    <xf numFmtId="0" fontId="3" fillId="0" borderId="0" xfId="1" applyFill="1" applyBorder="1"/>
    <xf numFmtId="0" fontId="5" fillId="0" borderId="0" xfId="0" applyFont="1"/>
    <xf numFmtId="0" fontId="5" fillId="0" borderId="8" xfId="0" applyFont="1" applyBorder="1"/>
    <xf numFmtId="0" fontId="5" fillId="0" borderId="6" xfId="0" applyFont="1" applyBorder="1"/>
    <xf numFmtId="0" fontId="4" fillId="0" borderId="1" xfId="0" applyFont="1" applyBorder="1"/>
    <xf numFmtId="0" fontId="4" fillId="0" borderId="7" xfId="0" applyFont="1" applyBorder="1"/>
    <xf numFmtId="0" fontId="4" fillId="0" borderId="5" xfId="0" applyFont="1" applyBorder="1"/>
    <xf numFmtId="0" fontId="4" fillId="0" borderId="8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.uk/dp/B0DX5PVGJ9?ref_=ppx_hzsearch_conn_dt_b_fed_asin_title_1&amp;th=1" TargetMode="External"/><Relationship Id="rId18" Type="http://schemas.openxmlformats.org/officeDocument/2006/relationships/hyperlink" Target="https://www.amazon.co.uk/dp/B0DTHJ1FS2?ref=ppx_yo2ov_dt_b_fed_asin_title" TargetMode="External"/><Relationship Id="rId26" Type="http://schemas.openxmlformats.org/officeDocument/2006/relationships/hyperlink" Target="https://www.amazon.co.uk/dp/B0CFQ2BMPZ?ref=ppx_yo2ov_dt_b_fed_asin_title" TargetMode="External"/><Relationship Id="rId39" Type="http://schemas.openxmlformats.org/officeDocument/2006/relationships/hyperlink" Target="https://www.amazon.co.uk/dp/B09L4XKVQ5/" TargetMode="External"/><Relationship Id="rId21" Type="http://schemas.openxmlformats.org/officeDocument/2006/relationships/hyperlink" Target="https://www.amazon.co.uk/dp/B0BCTSKYQZ?ref=ppx_yo2ov_dt_b_fed_asin_title" TargetMode="External"/><Relationship Id="rId34" Type="http://schemas.openxmlformats.org/officeDocument/2006/relationships/hyperlink" Target="https://www.amazon.co.uk/dp/B08MZ1BSN6?ref_=ppx_hzsearch_conn_dt_b_fed_asin_title_3" TargetMode="External"/><Relationship Id="rId42" Type="http://schemas.openxmlformats.org/officeDocument/2006/relationships/hyperlink" Target="https://www.thomann.co.uk/blackmagic_design_mc_bidirect._sdi_hdmi_3g.htm" TargetMode="External"/><Relationship Id="rId47" Type="http://schemas.openxmlformats.org/officeDocument/2006/relationships/hyperlink" Target="https://www.amazon.co.uk/dp/B075R7QBQD/?th=1" TargetMode="External"/><Relationship Id="rId50" Type="http://schemas.openxmlformats.org/officeDocument/2006/relationships/hyperlink" Target="https://www.amazon.co.uk/dp/B0CP6XLLX8/" TargetMode="External"/><Relationship Id="rId55" Type="http://schemas.openxmlformats.org/officeDocument/2006/relationships/hyperlink" Target="https://www.amazon.co.uk/dp/B07VRBYT1N/" TargetMode="External"/><Relationship Id="rId7" Type="http://schemas.openxmlformats.org/officeDocument/2006/relationships/hyperlink" Target="https://www.amazon.co.uk/sourcing-map-Timing-Printing-Closed/dp/B0GVKNPKQV/?th=1" TargetMode="External"/><Relationship Id="rId2" Type="http://schemas.openxmlformats.org/officeDocument/2006/relationships/hyperlink" Target="https://www.amazon.co.uk/dp/B0CD25SZNR?ref_=ppx_hzsearch_conn_dt_b_fed_asin_title_1&amp;th=1" TargetMode="External"/><Relationship Id="rId16" Type="http://schemas.openxmlformats.org/officeDocument/2006/relationships/hyperlink" Target="https://www.amazon.co.uk/dp/B085HF31K7?ref_=ppx_hzsearch_conn_dt_b_fed_asin_title_1" TargetMode="External"/><Relationship Id="rId29" Type="http://schemas.openxmlformats.org/officeDocument/2006/relationships/hyperlink" Target="https://www.amazon.co.uk/dp/B0CBWZBB63?ref_=ppx_hzsearch_conn_dt_b_fed_asin_title_3&amp;th=1" TargetMode="External"/><Relationship Id="rId11" Type="http://schemas.openxmlformats.org/officeDocument/2006/relationships/hyperlink" Target="https://www.amazon.co.uk/dp/B0CRLSHL1N?ref_=ppx_hzsearch_conn_dt_b_fed_asin_title_1&amp;th=1" TargetMode="External"/><Relationship Id="rId24" Type="http://schemas.openxmlformats.org/officeDocument/2006/relationships/hyperlink" Target="https://www.amazon.co.uk/dp/B0GQRJJPFN?ref=ppx_yo2ov_dt_b_fed_asin_title&amp;th=1" TargetMode="External"/><Relationship Id="rId32" Type="http://schemas.openxmlformats.org/officeDocument/2006/relationships/hyperlink" Target="https://www.amazon.co.uk/dp/B09Z2BM94R?ref_=ppx_hzsearch_conn_dt_b_fed_asin_title_1" TargetMode="External"/><Relationship Id="rId37" Type="http://schemas.openxmlformats.org/officeDocument/2006/relationships/hyperlink" Target="https://www.amazon.co.uk/dp/B07Z8YS2Z7?ref_=ppx_hzsearch_conn_dt_b_fed_asin_title_1&amp;th=1" TargetMode="External"/><Relationship Id="rId40" Type="http://schemas.openxmlformats.org/officeDocument/2006/relationships/hyperlink" Target="https://www.amazon.co.uk/gp/product/B0CZ3TBTJM/" TargetMode="External"/><Relationship Id="rId45" Type="http://schemas.openxmlformats.org/officeDocument/2006/relationships/hyperlink" Target="https://www.amazon.co.uk/dp/B0DTHJ1FS2?ref=ppx_yo2ov_dt_b_fed_asin_title" TargetMode="External"/><Relationship Id="rId53" Type="http://schemas.openxmlformats.org/officeDocument/2006/relationships/hyperlink" Target="https://www.amazon.co.uk/dp/B0FSCXSPCB?ref_=ppx_hzsearch_conn_dt_b_fed_asin_title_1&amp;th=1" TargetMode="External"/><Relationship Id="rId5" Type="http://schemas.openxmlformats.org/officeDocument/2006/relationships/hyperlink" Target="https://www.amazon.co.uk/dp/B09DS9PJ55?ref_=ppx_hzsearch_conn_dt_b_fed_asin_title_6&amp;th=1" TargetMode="External"/><Relationship Id="rId19" Type="http://schemas.openxmlformats.org/officeDocument/2006/relationships/hyperlink" Target="https://www.amazon.co.uk/dp/B0F7XTJ1ZL?ref=ppx_yo2ov_dt_b_fed_asin_title" TargetMode="External"/><Relationship Id="rId4" Type="http://schemas.openxmlformats.org/officeDocument/2006/relationships/hyperlink" Target="https://www.amazon.co.uk/dp/B07RCZPRG9?ref_=ppx_hzsearch_conn_dt_b_fed_asin_title_5" TargetMode="External"/><Relationship Id="rId9" Type="http://schemas.openxmlformats.org/officeDocument/2006/relationships/hyperlink" Target="https://www.amazon.co.uk/dp/B00PNEQUZ2?ref_=ppx_hzsearch_conn_dt_b_fed_asin_title_1" TargetMode="External"/><Relationship Id="rId14" Type="http://schemas.openxmlformats.org/officeDocument/2006/relationships/hyperlink" Target="https://www.amazon.co.uk/dp/B0DX5PVGJ9?ref_=ppx_hzsearch_conn_dt_b_fed_asin_title_1&amp;th=1" TargetMode="External"/><Relationship Id="rId22" Type="http://schemas.openxmlformats.org/officeDocument/2006/relationships/hyperlink" Target="https://www.amazon.co.uk/dp/B07WC71M4R?ref=ppx_yo2ov_dt_b_fed_asin_title&amp;th=1" TargetMode="External"/><Relationship Id="rId27" Type="http://schemas.openxmlformats.org/officeDocument/2006/relationships/hyperlink" Target="https://www.amazon.co.uk/dp/B0GZZXN23M/" TargetMode="External"/><Relationship Id="rId30" Type="http://schemas.openxmlformats.org/officeDocument/2006/relationships/hyperlink" Target="https://www.amazon.co.uk/dp/B0CBWZLB5C?ref_=ppx_hzsearch_conn_dt_b_fed_asin_title_1&amp;th=1" TargetMode="External"/><Relationship Id="rId35" Type="http://schemas.openxmlformats.org/officeDocument/2006/relationships/hyperlink" Target="https://www.amazon.co.uk/dp/B0CL73CZPQ/" TargetMode="External"/><Relationship Id="rId43" Type="http://schemas.openxmlformats.org/officeDocument/2006/relationships/hyperlink" Target="https://www.amazon.co.uk/dp/B07PLSDPYN/" TargetMode="External"/><Relationship Id="rId48" Type="http://schemas.openxmlformats.org/officeDocument/2006/relationships/hyperlink" Target="https://www.amazon.co.uk/dp/B0BYSB66S5?ref=ppx_yo2ov_dt_b_fed_asin_title&amp;th=1" TargetMode="External"/><Relationship Id="rId56" Type="http://schemas.openxmlformats.org/officeDocument/2006/relationships/hyperlink" Target="https://www.amazon.co.uk/dp/B07VRBYT1N/" TargetMode="External"/><Relationship Id="rId8" Type="http://schemas.openxmlformats.org/officeDocument/2006/relationships/hyperlink" Target="https://www.amazon.co.uk/dp/B0B9RVCDTJ?ref_=ppx_hzsearch_conn_dt_b_fed_asin_title_3" TargetMode="External"/><Relationship Id="rId51" Type="http://schemas.openxmlformats.org/officeDocument/2006/relationships/hyperlink" Target="https://www.amazon.co.uk/dp/B07Z8YS2Z7?ref_=ppx_hzsearch_conn_dt_b_fed_asin_title_1&amp;th=1" TargetMode="External"/><Relationship Id="rId3" Type="http://schemas.openxmlformats.org/officeDocument/2006/relationships/hyperlink" Target="https://www.amazon.co.uk/dp/B07X8776QQ?ref_=ppx_hzsearch_conn_dt_b_fed_asin_title_4" TargetMode="External"/><Relationship Id="rId12" Type="http://schemas.openxmlformats.org/officeDocument/2006/relationships/hyperlink" Target="https://www.amazon.co.uk/dp/B0DX6CD9LN?ref_=ppx_hzsearch_conn_dt_b_fed_asin_title_1&amp;th=1" TargetMode="External"/><Relationship Id="rId17" Type="http://schemas.openxmlformats.org/officeDocument/2006/relationships/hyperlink" Target="https://www.amazon.co.uk/dp/B07X8776QQ?ref_=ppx_hzsearch_conn_dt_b_fed_asin_title_4" TargetMode="External"/><Relationship Id="rId25" Type="http://schemas.openxmlformats.org/officeDocument/2006/relationships/hyperlink" Target="https://www.amazon.co.uk/dp/B00R1JDS1Q?ref=ppx_yo2ov_dt_b_fed_asin_title" TargetMode="External"/><Relationship Id="rId33" Type="http://schemas.openxmlformats.org/officeDocument/2006/relationships/hyperlink" Target="https://www.amazon.co.uk/sourcing-map-Rectifier-Electronic-Industrial/dp/B0FZFSXY79/" TargetMode="External"/><Relationship Id="rId38" Type="http://schemas.openxmlformats.org/officeDocument/2006/relationships/hyperlink" Target="https://www.amazon.co.uk/dp/B0FSCXSPCB?ref_=ppx_hzsearch_conn_dt_b_fed_asin_title_1&amp;th=1" TargetMode="External"/><Relationship Id="rId46" Type="http://schemas.openxmlformats.org/officeDocument/2006/relationships/hyperlink" Target="https://www.amazon.co.uk/dp/B0B9RXM7TB?ref=ppx_yo2ov_dt_b_fed_asin_title&amp;th=1" TargetMode="External"/><Relationship Id="rId20" Type="http://schemas.openxmlformats.org/officeDocument/2006/relationships/hyperlink" Target="https://www.amazon.co.uk/dp/B0B9RXM7TB?ref=ppx_yo2ov_dt_b_fed_asin_title&amp;th=1" TargetMode="External"/><Relationship Id="rId41" Type="http://schemas.openxmlformats.org/officeDocument/2006/relationships/hyperlink" Target="https://www.amazon.co.uk/dp/B0FSCXSPCB?ref_=ppx_hzsearch_conn_dt_b_fed_asin_title_1&amp;th=1" TargetMode="External"/><Relationship Id="rId54" Type="http://schemas.openxmlformats.org/officeDocument/2006/relationships/hyperlink" Target="https://www.amazon.co.uk/dp/B09ZRTQXXT/?th=1" TargetMode="External"/><Relationship Id="rId1" Type="http://schemas.openxmlformats.org/officeDocument/2006/relationships/hyperlink" Target="https://simplybearings.co.uk/shop/p170416/6824ZZ-Budget-Metal-Shielded-Thin-Section-Deep-Groove-Ball-Bearing-120x150x16mm/product_info.html" TargetMode="External"/><Relationship Id="rId6" Type="http://schemas.openxmlformats.org/officeDocument/2006/relationships/hyperlink" Target="https://www.amazon.co.uk/dp/B08SJ5X2HZ?ref_=ppx_hzsearch_conn_dt_b_fed_asin_title_9&amp;th=1" TargetMode="External"/><Relationship Id="rId15" Type="http://schemas.openxmlformats.org/officeDocument/2006/relationships/hyperlink" Target="https://www.amazon.co.uk/sourcing-map-Printer-Rollers-High-Speed/dp/B0DNCP6TRB/" TargetMode="External"/><Relationship Id="rId23" Type="http://schemas.openxmlformats.org/officeDocument/2006/relationships/hyperlink" Target="https://ooznest.co.uk/product/40x80mm-c-beam-t-v-slot-aluminium-extrusion-profile-silver-cut-to-size/?mtke=11" TargetMode="External"/><Relationship Id="rId28" Type="http://schemas.openxmlformats.org/officeDocument/2006/relationships/hyperlink" Target="https://www.amazon.co.uk/dp/B09LCRCTQG?ref_=ppx_hzsearch_conn_dt_b_fed_asin_title_5" TargetMode="External"/><Relationship Id="rId36" Type="http://schemas.openxmlformats.org/officeDocument/2006/relationships/hyperlink" Target="https://www.amazon.co.uk/dp/B0CL6TJZPC/" TargetMode="External"/><Relationship Id="rId49" Type="http://schemas.openxmlformats.org/officeDocument/2006/relationships/hyperlink" Target="https://www.amazon.co.uk/dp/B0792Y2X4K/" TargetMode="External"/><Relationship Id="rId57" Type="http://schemas.openxmlformats.org/officeDocument/2006/relationships/hyperlink" Target="https://www.amazon.co.uk/dp/B07SX1N19C/?th=1" TargetMode="External"/><Relationship Id="rId10" Type="http://schemas.openxmlformats.org/officeDocument/2006/relationships/hyperlink" Target="https://www.amazon.co.uk/dp/B00W98OYE4?ref_=ppx_hzsearch_conn_dt_b_fed_asin_title_2" TargetMode="External"/><Relationship Id="rId31" Type="http://schemas.openxmlformats.org/officeDocument/2006/relationships/hyperlink" Target="https://www.amazon.co.uk/sourcing-map-Connectors-Connector-Electronic/dp/B0G8YZSX2B/" TargetMode="External"/><Relationship Id="rId44" Type="http://schemas.openxmlformats.org/officeDocument/2006/relationships/hyperlink" Target="https://www.amazon.co.uk/dp/B0D2NMCY7K/" TargetMode="External"/><Relationship Id="rId52" Type="http://schemas.openxmlformats.org/officeDocument/2006/relationships/hyperlink" Target="https://www.amazon.co.uk/dp/B0FSCXSPCB?ref_=ppx_hzsearch_conn_dt_b_fed_asin_title_1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87D02-6FC5-D140-8324-770FD729D828}">
  <dimension ref="B3:G101"/>
  <sheetViews>
    <sheetView tabSelected="1" topLeftCell="A50" workbookViewId="0">
      <selection activeCell="B80" sqref="B80"/>
    </sheetView>
  </sheetViews>
  <sheetFormatPr baseColWidth="10" defaultRowHeight="16" x14ac:dyDescent="0.2"/>
  <cols>
    <col min="2" max="2" width="13.83203125" customWidth="1"/>
    <col min="3" max="3" width="54.83203125" customWidth="1"/>
    <col min="4" max="4" width="15.1640625" customWidth="1"/>
    <col min="6" max="6" width="6.5" customWidth="1"/>
    <col min="7" max="7" width="39" customWidth="1"/>
    <col min="11" max="11" width="38.33203125" customWidth="1"/>
    <col min="12" max="12" width="14.5" customWidth="1"/>
  </cols>
  <sheetData>
    <row r="3" spans="2:7" x14ac:dyDescent="0.2">
      <c r="B3" s="12" t="s">
        <v>0</v>
      </c>
      <c r="C3" s="5"/>
      <c r="D3" s="6" t="s">
        <v>2</v>
      </c>
    </row>
    <row r="4" spans="2:7" x14ac:dyDescent="0.2">
      <c r="B4" s="7"/>
      <c r="C4" t="s">
        <v>80</v>
      </c>
      <c r="D4" s="8">
        <v>1</v>
      </c>
      <c r="G4" s="33" t="s">
        <v>114</v>
      </c>
    </row>
    <row r="5" spans="2:7" x14ac:dyDescent="0.2">
      <c r="B5" s="7"/>
      <c r="C5" t="s">
        <v>1</v>
      </c>
      <c r="D5" s="8">
        <v>4</v>
      </c>
      <c r="G5" s="33" t="s">
        <v>115</v>
      </c>
    </row>
    <row r="6" spans="2:7" x14ac:dyDescent="0.2">
      <c r="B6" s="7"/>
      <c r="C6" t="s">
        <v>133</v>
      </c>
      <c r="D6" s="8">
        <v>1</v>
      </c>
      <c r="G6" s="33" t="s">
        <v>132</v>
      </c>
    </row>
    <row r="7" spans="2:7" x14ac:dyDescent="0.2">
      <c r="B7" s="7"/>
      <c r="C7" t="s">
        <v>3</v>
      </c>
      <c r="D7" s="8">
        <v>2</v>
      </c>
      <c r="G7" s="33" t="s">
        <v>134</v>
      </c>
    </row>
    <row r="8" spans="2:7" x14ac:dyDescent="0.2">
      <c r="B8" s="7"/>
      <c r="C8" t="s">
        <v>135</v>
      </c>
      <c r="D8" s="8">
        <v>6</v>
      </c>
      <c r="G8" s="33" t="s">
        <v>136</v>
      </c>
    </row>
    <row r="9" spans="2:7" x14ac:dyDescent="0.2">
      <c r="B9" s="7"/>
      <c r="C9" t="s">
        <v>168</v>
      </c>
      <c r="D9" s="8">
        <v>4</v>
      </c>
      <c r="G9" s="33" t="s">
        <v>137</v>
      </c>
    </row>
    <row r="10" spans="2:7" x14ac:dyDescent="0.2">
      <c r="B10" s="7"/>
      <c r="C10" t="s">
        <v>169</v>
      </c>
      <c r="D10" s="8">
        <v>1</v>
      </c>
      <c r="G10" s="33" t="s">
        <v>138</v>
      </c>
    </row>
    <row r="11" spans="2:7" x14ac:dyDescent="0.2">
      <c r="B11" s="7"/>
      <c r="C11" t="s">
        <v>166</v>
      </c>
      <c r="D11" s="8">
        <v>1</v>
      </c>
      <c r="G11" s="33" t="s">
        <v>131</v>
      </c>
    </row>
    <row r="12" spans="2:7" x14ac:dyDescent="0.2">
      <c r="B12" s="7"/>
      <c r="C12" t="s">
        <v>128</v>
      </c>
      <c r="D12" s="8">
        <v>6</v>
      </c>
      <c r="G12" s="33" t="s">
        <v>125</v>
      </c>
    </row>
    <row r="13" spans="2:7" x14ac:dyDescent="0.2">
      <c r="B13" s="7"/>
      <c r="C13" t="s">
        <v>129</v>
      </c>
      <c r="D13" s="8">
        <v>1</v>
      </c>
      <c r="G13" s="33" t="s">
        <v>126</v>
      </c>
    </row>
    <row r="14" spans="2:7" x14ac:dyDescent="0.2">
      <c r="B14" s="7"/>
      <c r="C14" t="s">
        <v>130</v>
      </c>
      <c r="D14" s="8">
        <v>2</v>
      </c>
      <c r="G14" s="33" t="s">
        <v>127</v>
      </c>
    </row>
    <row r="15" spans="2:7" x14ac:dyDescent="0.2">
      <c r="B15" s="7"/>
      <c r="C15" t="s">
        <v>4</v>
      </c>
      <c r="D15" s="8" t="s">
        <v>165</v>
      </c>
      <c r="G15" s="33" t="s">
        <v>121</v>
      </c>
    </row>
    <row r="16" spans="2:7" x14ac:dyDescent="0.2">
      <c r="B16" s="9"/>
      <c r="C16" s="10" t="s">
        <v>5</v>
      </c>
      <c r="D16" s="11" t="s">
        <v>165</v>
      </c>
      <c r="G16" s="33" t="s">
        <v>124</v>
      </c>
    </row>
    <row r="19" spans="2:7" x14ac:dyDescent="0.2">
      <c r="B19" s="12" t="s">
        <v>8</v>
      </c>
      <c r="C19" s="5"/>
      <c r="D19" s="6" t="s">
        <v>2</v>
      </c>
    </row>
    <row r="20" spans="2:7" x14ac:dyDescent="0.2">
      <c r="B20" s="7"/>
      <c r="C20" t="s">
        <v>65</v>
      </c>
      <c r="D20" s="8">
        <v>1</v>
      </c>
      <c r="G20" s="18" t="s">
        <v>66</v>
      </c>
    </row>
    <row r="21" spans="2:7" x14ac:dyDescent="0.2">
      <c r="B21" s="7"/>
      <c r="C21" t="s">
        <v>12</v>
      </c>
      <c r="D21" s="8">
        <v>4</v>
      </c>
      <c r="G21" s="18" t="s">
        <v>103</v>
      </c>
    </row>
    <row r="22" spans="2:7" x14ac:dyDescent="0.2">
      <c r="B22" s="7"/>
      <c r="D22" s="8"/>
    </row>
    <row r="23" spans="2:7" x14ac:dyDescent="0.2">
      <c r="B23" s="7"/>
      <c r="C23" t="s">
        <v>92</v>
      </c>
      <c r="D23" s="8">
        <v>1</v>
      </c>
      <c r="G23" s="18" t="s">
        <v>91</v>
      </c>
    </row>
    <row r="24" spans="2:7" x14ac:dyDescent="0.2">
      <c r="B24" s="7"/>
      <c r="C24" t="s">
        <v>93</v>
      </c>
      <c r="D24" s="8">
        <v>1</v>
      </c>
      <c r="G24" s="18" t="s">
        <v>89</v>
      </c>
    </row>
    <row r="25" spans="2:7" x14ac:dyDescent="0.2">
      <c r="B25" s="7"/>
      <c r="C25" t="s">
        <v>94</v>
      </c>
      <c r="D25" s="8">
        <v>1</v>
      </c>
      <c r="G25" s="18" t="s">
        <v>170</v>
      </c>
    </row>
    <row r="26" spans="2:7" x14ac:dyDescent="0.2">
      <c r="B26" s="7"/>
      <c r="D26" s="8"/>
    </row>
    <row r="27" spans="2:7" x14ac:dyDescent="0.2">
      <c r="B27" s="7"/>
      <c r="C27" t="s">
        <v>95</v>
      </c>
      <c r="D27" s="8">
        <v>1</v>
      </c>
      <c r="G27" s="18" t="s">
        <v>90</v>
      </c>
    </row>
    <row r="28" spans="2:7" x14ac:dyDescent="0.2">
      <c r="B28" s="7"/>
      <c r="C28" t="s">
        <v>96</v>
      </c>
      <c r="D28" s="8">
        <v>1</v>
      </c>
      <c r="G28" s="18" t="s">
        <v>98</v>
      </c>
    </row>
    <row r="29" spans="2:7" x14ac:dyDescent="0.2">
      <c r="B29" s="7"/>
      <c r="D29" s="8"/>
    </row>
    <row r="30" spans="2:7" x14ac:dyDescent="0.2">
      <c r="B30" s="7"/>
      <c r="C30" t="s">
        <v>99</v>
      </c>
      <c r="D30" s="8">
        <v>2</v>
      </c>
      <c r="G30" s="18" t="s">
        <v>102</v>
      </c>
    </row>
    <row r="31" spans="2:7" x14ac:dyDescent="0.2">
      <c r="B31" s="7"/>
      <c r="C31" t="s">
        <v>14</v>
      </c>
      <c r="D31" s="8">
        <v>1</v>
      </c>
      <c r="G31" s="18" t="s">
        <v>100</v>
      </c>
    </row>
    <row r="32" spans="2:7" x14ac:dyDescent="0.2">
      <c r="B32" s="7"/>
      <c r="D32" s="8"/>
    </row>
    <row r="33" spans="2:7" x14ac:dyDescent="0.2">
      <c r="B33" s="7"/>
      <c r="C33" t="s">
        <v>82</v>
      </c>
      <c r="D33" s="8">
        <v>1</v>
      </c>
      <c r="G33" s="18" t="s">
        <v>105</v>
      </c>
    </row>
    <row r="34" spans="2:7" x14ac:dyDescent="0.2">
      <c r="B34" s="7"/>
      <c r="D34" s="8"/>
      <c r="G34" s="18"/>
    </row>
    <row r="35" spans="2:7" x14ac:dyDescent="0.2">
      <c r="B35" s="7"/>
      <c r="C35" t="s">
        <v>111</v>
      </c>
      <c r="D35" s="8">
        <v>1</v>
      </c>
      <c r="G35" s="18" t="s">
        <v>112</v>
      </c>
    </row>
    <row r="36" spans="2:7" x14ac:dyDescent="0.2">
      <c r="B36" s="7"/>
      <c r="D36" s="8"/>
    </row>
    <row r="37" spans="2:7" x14ac:dyDescent="0.2">
      <c r="B37" s="7"/>
      <c r="C37" t="s">
        <v>120</v>
      </c>
      <c r="D37" s="8">
        <v>1</v>
      </c>
      <c r="G37" s="18" t="s">
        <v>119</v>
      </c>
    </row>
    <row r="38" spans="2:7" x14ac:dyDescent="0.2">
      <c r="B38" s="7"/>
      <c r="C38" t="s">
        <v>85</v>
      </c>
      <c r="D38" s="8">
        <v>1</v>
      </c>
      <c r="G38" s="18" t="s">
        <v>110</v>
      </c>
    </row>
    <row r="39" spans="2:7" x14ac:dyDescent="0.2">
      <c r="B39" s="7"/>
      <c r="C39" t="s">
        <v>86</v>
      </c>
      <c r="D39" s="8">
        <v>1</v>
      </c>
      <c r="G39" s="18" t="s">
        <v>113</v>
      </c>
    </row>
    <row r="40" spans="2:7" x14ac:dyDescent="0.2">
      <c r="B40" s="7"/>
      <c r="D40" s="8"/>
      <c r="G40" s="18"/>
    </row>
    <row r="41" spans="2:7" x14ac:dyDescent="0.2">
      <c r="B41" s="7" t="s">
        <v>171</v>
      </c>
      <c r="D41" s="8"/>
    </row>
    <row r="42" spans="2:7" x14ac:dyDescent="0.2">
      <c r="B42" s="7"/>
      <c r="C42" t="s">
        <v>11</v>
      </c>
      <c r="D42" s="8">
        <v>1</v>
      </c>
      <c r="G42" s="18" t="s">
        <v>106</v>
      </c>
    </row>
    <row r="43" spans="2:7" x14ac:dyDescent="0.2">
      <c r="B43" s="7"/>
      <c r="C43" t="s">
        <v>140</v>
      </c>
      <c r="D43" s="8">
        <v>1</v>
      </c>
      <c r="G43" s="18" t="s">
        <v>139</v>
      </c>
    </row>
    <row r="44" spans="2:7" x14ac:dyDescent="0.2">
      <c r="B44" s="7"/>
      <c r="D44" s="8"/>
    </row>
    <row r="45" spans="2:7" x14ac:dyDescent="0.2">
      <c r="B45" s="7" t="s">
        <v>172</v>
      </c>
      <c r="D45" s="8"/>
    </row>
    <row r="46" spans="2:7" x14ac:dyDescent="0.2">
      <c r="B46" s="7"/>
      <c r="C46" t="s">
        <v>167</v>
      </c>
      <c r="D46" s="8">
        <v>1</v>
      </c>
      <c r="G46" s="18" t="s">
        <v>107</v>
      </c>
    </row>
    <row r="47" spans="2:7" x14ac:dyDescent="0.2">
      <c r="B47" s="7"/>
      <c r="C47" t="s">
        <v>141</v>
      </c>
      <c r="D47" s="8">
        <v>1</v>
      </c>
      <c r="G47" s="18" t="s">
        <v>144</v>
      </c>
    </row>
    <row r="48" spans="2:7" x14ac:dyDescent="0.2">
      <c r="B48" s="7"/>
      <c r="D48" s="8"/>
      <c r="G48" s="18"/>
    </row>
    <row r="49" spans="2:7" x14ac:dyDescent="0.2">
      <c r="B49" s="7" t="s">
        <v>173</v>
      </c>
      <c r="D49" s="8"/>
    </row>
    <row r="50" spans="2:7" x14ac:dyDescent="0.2">
      <c r="B50" s="7"/>
      <c r="C50" t="s">
        <v>146</v>
      </c>
      <c r="D50" s="8">
        <v>1</v>
      </c>
      <c r="G50" s="18" t="s">
        <v>145</v>
      </c>
    </row>
    <row r="51" spans="2:7" x14ac:dyDescent="0.2">
      <c r="B51" s="7"/>
      <c r="C51" t="s">
        <v>10</v>
      </c>
      <c r="D51" s="8">
        <v>2</v>
      </c>
      <c r="G51" s="18" t="s">
        <v>107</v>
      </c>
    </row>
    <row r="52" spans="2:7" x14ac:dyDescent="0.2">
      <c r="B52" s="7"/>
      <c r="C52" t="s">
        <v>142</v>
      </c>
      <c r="D52" s="8">
        <v>2</v>
      </c>
      <c r="G52" s="18" t="s">
        <v>143</v>
      </c>
    </row>
    <row r="53" spans="2:7" x14ac:dyDescent="0.2">
      <c r="B53" s="9"/>
      <c r="C53" s="10" t="s">
        <v>148</v>
      </c>
      <c r="D53" s="11">
        <v>1</v>
      </c>
      <c r="G53" s="34" t="s">
        <v>147</v>
      </c>
    </row>
    <row r="56" spans="2:7" x14ac:dyDescent="0.2">
      <c r="B56" s="12" t="s">
        <v>9</v>
      </c>
      <c r="C56" s="5"/>
      <c r="D56" s="6" t="s">
        <v>2</v>
      </c>
    </row>
    <row r="57" spans="2:7" x14ac:dyDescent="0.2">
      <c r="B57" s="7"/>
      <c r="C57" t="s">
        <v>63</v>
      </c>
      <c r="D57" s="8" t="s">
        <v>64</v>
      </c>
      <c r="G57" s="18" t="s">
        <v>118</v>
      </c>
    </row>
    <row r="58" spans="2:7" x14ac:dyDescent="0.2">
      <c r="B58" s="7"/>
      <c r="D58" s="8"/>
    </row>
    <row r="59" spans="2:7" x14ac:dyDescent="0.2">
      <c r="B59" s="7"/>
      <c r="C59" t="s">
        <v>6</v>
      </c>
      <c r="D59" s="8">
        <v>1</v>
      </c>
      <c r="G59" s="18" t="s">
        <v>89</v>
      </c>
    </row>
    <row r="60" spans="2:7" x14ac:dyDescent="0.2">
      <c r="B60" s="7"/>
      <c r="C60" t="s">
        <v>7</v>
      </c>
      <c r="D60" s="8">
        <v>1</v>
      </c>
      <c r="G60" s="18" t="s">
        <v>97</v>
      </c>
    </row>
    <row r="61" spans="2:7" x14ac:dyDescent="0.2">
      <c r="B61" s="7"/>
      <c r="C61" t="s">
        <v>87</v>
      </c>
      <c r="D61" s="8">
        <v>2</v>
      </c>
      <c r="G61" s="18" t="s">
        <v>88</v>
      </c>
    </row>
    <row r="62" spans="2:7" x14ac:dyDescent="0.2">
      <c r="B62" s="7"/>
      <c r="D62" s="8"/>
    </row>
    <row r="63" spans="2:7" x14ac:dyDescent="0.2">
      <c r="B63" s="7"/>
      <c r="C63" t="s">
        <v>81</v>
      </c>
      <c r="D63" s="8">
        <v>1</v>
      </c>
      <c r="G63" s="18" t="s">
        <v>101</v>
      </c>
    </row>
    <row r="64" spans="2:7" x14ac:dyDescent="0.2">
      <c r="B64" s="7"/>
      <c r="D64" s="8"/>
    </row>
    <row r="65" spans="2:7" x14ac:dyDescent="0.2">
      <c r="B65" s="7"/>
      <c r="C65" t="s">
        <v>13</v>
      </c>
      <c r="D65" s="8">
        <v>16</v>
      </c>
      <c r="G65" s="18" t="s">
        <v>109</v>
      </c>
    </row>
    <row r="66" spans="2:7" x14ac:dyDescent="0.2">
      <c r="B66" s="7"/>
      <c r="D66" s="8"/>
    </row>
    <row r="67" spans="2:7" x14ac:dyDescent="0.2">
      <c r="B67" s="7"/>
      <c r="C67" t="s">
        <v>84</v>
      </c>
      <c r="D67" s="8">
        <v>1</v>
      </c>
      <c r="G67" s="18" t="s">
        <v>108</v>
      </c>
    </row>
    <row r="68" spans="2:7" x14ac:dyDescent="0.2">
      <c r="B68" s="7"/>
      <c r="D68" s="8"/>
    </row>
    <row r="69" spans="2:7" x14ac:dyDescent="0.2">
      <c r="B69" s="7"/>
      <c r="C69" t="s">
        <v>82</v>
      </c>
      <c r="D69" s="8">
        <v>1</v>
      </c>
      <c r="G69" s="18" t="s">
        <v>105</v>
      </c>
    </row>
    <row r="70" spans="2:7" x14ac:dyDescent="0.2">
      <c r="B70" s="7"/>
      <c r="C70" t="s">
        <v>83</v>
      </c>
      <c r="D70" s="8">
        <v>1</v>
      </c>
      <c r="G70" s="18" t="s">
        <v>104</v>
      </c>
    </row>
    <row r="71" spans="2:7" x14ac:dyDescent="0.2">
      <c r="B71" s="7"/>
      <c r="D71" s="8"/>
    </row>
    <row r="72" spans="2:7" x14ac:dyDescent="0.2">
      <c r="B72" s="7" t="s">
        <v>174</v>
      </c>
      <c r="D72" s="8"/>
    </row>
    <row r="73" spans="2:7" x14ac:dyDescent="0.2">
      <c r="B73" s="7"/>
      <c r="C73" t="s">
        <v>11</v>
      </c>
      <c r="D73" s="8">
        <v>1</v>
      </c>
      <c r="G73" s="33" t="s">
        <v>106</v>
      </c>
    </row>
    <row r="74" spans="2:7" x14ac:dyDescent="0.2">
      <c r="B74" s="7"/>
      <c r="C74" t="s">
        <v>160</v>
      </c>
      <c r="D74" s="8">
        <v>1</v>
      </c>
      <c r="G74" s="18" t="s">
        <v>163</v>
      </c>
    </row>
    <row r="75" spans="2:7" x14ac:dyDescent="0.2">
      <c r="B75" s="7"/>
      <c r="D75" s="8"/>
    </row>
    <row r="76" spans="2:7" x14ac:dyDescent="0.2">
      <c r="B76" s="7" t="s">
        <v>175</v>
      </c>
      <c r="D76" s="8"/>
    </row>
    <row r="77" spans="2:7" x14ac:dyDescent="0.2">
      <c r="B77" s="7"/>
      <c r="C77" t="s">
        <v>10</v>
      </c>
      <c r="D77" s="8">
        <v>1</v>
      </c>
      <c r="G77" s="18" t="s">
        <v>107</v>
      </c>
    </row>
    <row r="78" spans="2:7" x14ac:dyDescent="0.2">
      <c r="B78" s="7"/>
      <c r="C78" t="s">
        <v>161</v>
      </c>
      <c r="D78" s="8">
        <v>1</v>
      </c>
      <c r="G78" s="18" t="s">
        <v>164</v>
      </c>
    </row>
    <row r="79" spans="2:7" x14ac:dyDescent="0.2">
      <c r="B79" s="7"/>
      <c r="D79" s="8"/>
      <c r="G79" s="18"/>
    </row>
    <row r="80" spans="2:7" x14ac:dyDescent="0.2">
      <c r="B80" s="7" t="s">
        <v>176</v>
      </c>
      <c r="D80" s="8"/>
    </row>
    <row r="81" spans="2:7" x14ac:dyDescent="0.2">
      <c r="B81" s="7"/>
      <c r="C81" t="s">
        <v>10</v>
      </c>
      <c r="D81" s="8">
        <v>2</v>
      </c>
      <c r="G81" s="18" t="s">
        <v>107</v>
      </c>
    </row>
    <row r="82" spans="2:7" x14ac:dyDescent="0.2">
      <c r="B82" s="9"/>
      <c r="C82" s="10" t="s">
        <v>162</v>
      </c>
      <c r="D82" s="11">
        <v>2</v>
      </c>
      <c r="G82" s="18" t="s">
        <v>164</v>
      </c>
    </row>
    <row r="83" spans="2:7" x14ac:dyDescent="0.2">
      <c r="G83" s="34"/>
    </row>
    <row r="84" spans="2:7" x14ac:dyDescent="0.2">
      <c r="G84" s="34"/>
    </row>
    <row r="85" spans="2:7" x14ac:dyDescent="0.2">
      <c r="B85" s="12" t="s">
        <v>154</v>
      </c>
      <c r="C85" s="5"/>
      <c r="D85" s="6"/>
    </row>
    <row r="86" spans="2:7" x14ac:dyDescent="0.2">
      <c r="B86" s="9"/>
      <c r="C86" s="36" t="s">
        <v>117</v>
      </c>
      <c r="D86" s="37">
        <v>1</v>
      </c>
      <c r="E86" s="35"/>
      <c r="F86" s="35"/>
      <c r="G86" s="18" t="s">
        <v>116</v>
      </c>
    </row>
    <row r="87" spans="2:7" x14ac:dyDescent="0.2">
      <c r="C87" s="35"/>
      <c r="D87" s="35"/>
      <c r="E87" s="35"/>
      <c r="F87" s="35"/>
      <c r="G87" s="18"/>
    </row>
    <row r="88" spans="2:7" x14ac:dyDescent="0.2">
      <c r="B88" s="12" t="s">
        <v>79</v>
      </c>
      <c r="C88" s="5"/>
      <c r="D88" s="6"/>
    </row>
    <row r="89" spans="2:7" x14ac:dyDescent="0.2">
      <c r="B89" s="7"/>
      <c r="C89" t="s">
        <v>151</v>
      </c>
      <c r="D89" s="8">
        <v>1</v>
      </c>
      <c r="G89" s="18" t="s">
        <v>150</v>
      </c>
    </row>
    <row r="90" spans="2:7" ht="16" customHeight="1" x14ac:dyDescent="0.2">
      <c r="B90" s="7"/>
      <c r="C90" t="s">
        <v>85</v>
      </c>
      <c r="D90" s="8">
        <v>1</v>
      </c>
      <c r="G90" s="18" t="s">
        <v>110</v>
      </c>
    </row>
    <row r="91" spans="2:7" x14ac:dyDescent="0.2">
      <c r="B91" s="7"/>
      <c r="C91" t="s">
        <v>86</v>
      </c>
      <c r="D91" s="8">
        <v>1</v>
      </c>
      <c r="G91" s="18" t="s">
        <v>113</v>
      </c>
    </row>
    <row r="92" spans="2:7" x14ac:dyDescent="0.2">
      <c r="B92" s="9"/>
      <c r="C92" s="10" t="s">
        <v>153</v>
      </c>
      <c r="D92" s="11">
        <v>1</v>
      </c>
      <c r="G92" s="18" t="s">
        <v>152</v>
      </c>
    </row>
    <row r="94" spans="2:7" x14ac:dyDescent="0.2">
      <c r="B94" s="12" t="s">
        <v>155</v>
      </c>
      <c r="C94" s="5"/>
      <c r="D94" s="6"/>
    </row>
    <row r="95" spans="2:7" x14ac:dyDescent="0.2">
      <c r="B95" s="7"/>
      <c r="C95" t="s">
        <v>157</v>
      </c>
      <c r="D95" s="8">
        <v>1</v>
      </c>
      <c r="G95" s="18" t="s">
        <v>156</v>
      </c>
    </row>
    <row r="96" spans="2:7" x14ac:dyDescent="0.2">
      <c r="B96" s="9"/>
      <c r="C96" s="10" t="s">
        <v>159</v>
      </c>
      <c r="D96" s="11">
        <v>1</v>
      </c>
      <c r="G96" s="18" t="s">
        <v>158</v>
      </c>
    </row>
    <row r="100" spans="2:7" x14ac:dyDescent="0.2">
      <c r="B100" s="12" t="s">
        <v>75</v>
      </c>
      <c r="C100" s="5"/>
      <c r="D100" s="6"/>
    </row>
    <row r="101" spans="2:7" x14ac:dyDescent="0.2">
      <c r="B101" s="9" t="s">
        <v>149</v>
      </c>
      <c r="C101" s="10" t="s">
        <v>123</v>
      </c>
      <c r="D101" s="11">
        <v>1</v>
      </c>
      <c r="G101" s="18" t="s">
        <v>122</v>
      </c>
    </row>
  </sheetData>
  <hyperlinks>
    <hyperlink ref="G20" r:id="rId1" xr:uid="{C4B2BB49-FEA4-D543-91C7-97AF047F929C}"/>
    <hyperlink ref="G61" r:id="rId2" xr:uid="{05AD5D5D-3D0B-704C-B1C5-7CE6B3CED152}"/>
    <hyperlink ref="G24" r:id="rId3" xr:uid="{BC98258B-57F0-1C4C-AF80-4BE8D1FD9EAE}"/>
    <hyperlink ref="G27" r:id="rId4" xr:uid="{F8B98F67-DF92-9D4F-A1AE-819972716641}"/>
    <hyperlink ref="G23" r:id="rId5" xr:uid="{98B0E8DB-BC0C-F94E-A97D-816521BDEDA8}"/>
    <hyperlink ref="G60" r:id="rId6" xr:uid="{F861BA0C-4552-244B-8476-DFB0682E6C83}"/>
    <hyperlink ref="G28" r:id="rId7" xr:uid="{BBD1F743-0E22-F04F-B3AE-077CF8C9121B}"/>
    <hyperlink ref="G31" r:id="rId8" xr:uid="{0A915139-DA75-4143-A561-25E462F62B9F}"/>
    <hyperlink ref="G63" r:id="rId9" xr:uid="{A1DB0692-F3C9-1C4B-8763-924B464B9C25}"/>
    <hyperlink ref="G30" r:id="rId10" xr:uid="{C6DD067B-6495-B44A-93E2-04AC9C838202}"/>
    <hyperlink ref="G21" r:id="rId11" xr:uid="{209DCB73-782E-C748-84C3-73A179FB76AD}"/>
    <hyperlink ref="G70" r:id="rId12" xr:uid="{419A7E3E-3A8D-0C4E-9B3F-FC186E69C7E2}"/>
    <hyperlink ref="G69" r:id="rId13" xr:uid="{0B09BF0C-175E-C24F-8F09-B8BC64C0DF6A}"/>
    <hyperlink ref="G33" r:id="rId14" xr:uid="{A0C1374B-EFA8-D94C-B59E-D21198193F31}"/>
    <hyperlink ref="G65" r:id="rId15" xr:uid="{6ED80B86-58E8-D44D-9A7D-1FAA904E06AF}"/>
    <hyperlink ref="G67" r:id="rId16" xr:uid="{583ACBAD-C54D-BA45-9BA7-5F6E8C2AC06A}"/>
    <hyperlink ref="G59" r:id="rId17" xr:uid="{55E8F9CA-AF6A-7C47-A957-7C2E77A1C304}"/>
    <hyperlink ref="G38" r:id="rId18" xr:uid="{60FDDEC5-55DB-7B4B-AEC5-4496FA2B9E6B}"/>
    <hyperlink ref="G35" r:id="rId19" xr:uid="{E0377ACF-606A-1D48-98B8-2415AFA6EA38}"/>
    <hyperlink ref="G39" r:id="rId20" xr:uid="{1EACB423-2AAB-5D47-A7AA-297643CA1E51}"/>
    <hyperlink ref="G4" r:id="rId21" xr:uid="{9AA1512F-3075-7241-B2BE-949D84456DC1}"/>
    <hyperlink ref="G5" r:id="rId22" xr:uid="{9630A8FE-9A1F-184B-9309-3F827EB14A92}"/>
    <hyperlink ref="G57" r:id="rId23" xr:uid="{6197ADBC-E93F-684E-8A08-7DA21F2CEFF9}"/>
    <hyperlink ref="G37" r:id="rId24" xr:uid="{D941825D-9393-FB4E-BF85-725FD1D0B1A0}"/>
    <hyperlink ref="G15" r:id="rId25" xr:uid="{04650CD7-9B71-664F-96DE-CE028EF5DB7F}"/>
    <hyperlink ref="G101" r:id="rId26" xr:uid="{1501DEE8-D5CD-ED47-8EB8-C62CE21E5770}"/>
    <hyperlink ref="G16" r:id="rId27" xr:uid="{FF99F9F9-A65C-5245-AA97-C3E9137BB860}"/>
    <hyperlink ref="G12" r:id="rId28" xr:uid="{D03C1DED-B429-DB44-AC39-93DBF0E96D9C}"/>
    <hyperlink ref="G13" r:id="rId29" xr:uid="{85F56677-ADBA-4E4E-A33D-81E1FE511351}"/>
    <hyperlink ref="G14" r:id="rId30" xr:uid="{32FE6F38-CDAE-3044-B3D9-D0036636493D}"/>
    <hyperlink ref="G11" r:id="rId31" xr:uid="{B9BB0EEE-770B-5E42-B198-16CB764B072A}"/>
    <hyperlink ref="G6" r:id="rId32" xr:uid="{9C3F6A35-400D-6348-8177-35EC8656268F}"/>
    <hyperlink ref="G7" r:id="rId33" xr:uid="{D583F741-48C8-024F-BD4F-5AC29CBEEFDC}"/>
    <hyperlink ref="G8" r:id="rId34" xr:uid="{81879720-773C-E243-B0B1-550446EAB6E8}"/>
    <hyperlink ref="G9" r:id="rId35" xr:uid="{AFFE845C-D9F6-3940-85EE-7AE2A7B611C8}"/>
    <hyperlink ref="G10" r:id="rId36" xr:uid="{3592F0C0-FC38-B94B-9758-71D3234F8F70}"/>
    <hyperlink ref="G42" r:id="rId37" xr:uid="{E1806445-E55B-9A44-ADE2-9B1E40B41D22}"/>
    <hyperlink ref="G46" r:id="rId38" xr:uid="{3B1DE142-7DCB-DB4B-A37E-7AC9773BDD62}"/>
    <hyperlink ref="G43" r:id="rId39" xr:uid="{B762A835-5C04-A245-BB70-1A820364AE7C}"/>
    <hyperlink ref="G52" r:id="rId40" xr:uid="{E0605B25-395B-804D-B4E1-198C3176B83C}"/>
    <hyperlink ref="G51" r:id="rId41" xr:uid="{852CAE88-F99B-DB4C-AFA0-106F33DBC8AF}"/>
    <hyperlink ref="G50" r:id="rId42" xr:uid="{0A81F8D3-D9F6-834B-A871-1D3045D2D5A4}"/>
    <hyperlink ref="G53" r:id="rId43" xr:uid="{70AB3684-CDAB-4140-880A-3426182CC9A4}"/>
    <hyperlink ref="G89" r:id="rId44" xr:uid="{4AAB2562-8E40-7344-BF8D-A80040E0D0EC}"/>
    <hyperlink ref="G90" r:id="rId45" xr:uid="{A8ABF4A3-E3D6-4649-AE2B-9873399B06C3}"/>
    <hyperlink ref="G91" r:id="rId46" xr:uid="{D29540FA-EA0D-AD48-9CA2-ECA8C5FD1D6D}"/>
    <hyperlink ref="G92" r:id="rId47" xr:uid="{D9750DA7-365B-1B42-8D13-10517BF00F1E}"/>
    <hyperlink ref="G86" r:id="rId48" xr:uid="{516FA6A3-CBE5-F74F-AB56-121FCEE715FD}"/>
    <hyperlink ref="G95" r:id="rId49" xr:uid="{E8F66C7B-0681-5E40-A077-4955EA81ACF4}"/>
    <hyperlink ref="G96" r:id="rId50" xr:uid="{D8111869-F0FF-7B40-B2F3-3888099B4A53}"/>
    <hyperlink ref="G73" r:id="rId51" xr:uid="{993D35A1-2D87-9F40-87E9-D742B250E0FA}"/>
    <hyperlink ref="G77" r:id="rId52" xr:uid="{D005E444-E5D0-B54D-9ACD-E86F68E1EE9C}"/>
    <hyperlink ref="G81" r:id="rId53" xr:uid="{4DA16140-C544-4D45-A71D-C2D736EE4857}"/>
    <hyperlink ref="G74" r:id="rId54" xr:uid="{07AD9432-8074-1348-B022-6C63089125E1}"/>
    <hyperlink ref="G78" r:id="rId55" xr:uid="{0A67398C-D132-F74D-A537-FC3211607853}"/>
    <hyperlink ref="G82" r:id="rId56" xr:uid="{2EB62C2E-3BD7-3143-BE4E-0D1C47194949}"/>
    <hyperlink ref="G25" r:id="rId57" xr:uid="{50DBDCAE-1D45-434B-BF56-CFFE8050263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F7AFB-FCA0-6A42-BBD3-C9865C122204}">
  <dimension ref="B2:AS57"/>
  <sheetViews>
    <sheetView topLeftCell="X1" workbookViewId="0">
      <selection activeCell="AL8" sqref="AL8"/>
    </sheetView>
  </sheetViews>
  <sheetFormatPr baseColWidth="10" defaultRowHeight="16" x14ac:dyDescent="0.2"/>
  <cols>
    <col min="1" max="1" width="10.83203125" style="19"/>
    <col min="2" max="2" width="24.1640625" style="19" customWidth="1"/>
    <col min="3" max="3" width="3.1640625" style="19" customWidth="1"/>
    <col min="4" max="4" width="11.83203125" style="19" customWidth="1"/>
    <col min="5" max="5" width="10.83203125" style="19"/>
    <col min="6" max="6" width="17.1640625" style="19" customWidth="1"/>
    <col min="7" max="7" width="3.33203125" style="19" customWidth="1"/>
    <col min="8" max="8" width="11.5" style="19" customWidth="1"/>
    <col min="9" max="9" width="10.83203125" style="19"/>
    <col min="10" max="10" width="15.5" style="19" customWidth="1"/>
    <col min="11" max="11" width="3.5" style="19" customWidth="1"/>
    <col min="12" max="12" width="18" style="19" customWidth="1"/>
    <col min="13" max="13" width="10.83203125" style="19"/>
    <col min="14" max="14" width="22.33203125" style="19" customWidth="1"/>
    <col min="15" max="15" width="5" style="19" customWidth="1"/>
    <col min="16" max="16" width="16" style="19" customWidth="1"/>
    <col min="17" max="17" width="10.83203125" style="19"/>
    <col min="18" max="18" width="15.83203125" style="19" customWidth="1"/>
    <col min="19" max="19" width="2.83203125" style="19" customWidth="1"/>
    <col min="20" max="21" width="10.83203125" style="19"/>
    <col min="22" max="22" width="18.83203125" style="19" customWidth="1"/>
    <col min="23" max="23" width="4" style="19" customWidth="1"/>
    <col min="24" max="25" width="10.83203125" style="19"/>
    <col min="26" max="26" width="25.6640625" style="19" customWidth="1"/>
    <col min="27" max="27" width="2.6640625" style="19" customWidth="1"/>
    <col min="28" max="28" width="33.1640625" style="19" customWidth="1"/>
    <col min="29" max="29" width="10.83203125" style="19"/>
    <col min="30" max="30" width="25.1640625" style="19" customWidth="1"/>
    <col min="31" max="31" width="3.5" style="19" customWidth="1"/>
    <col min="32" max="32" width="9.6640625" style="19" customWidth="1"/>
    <col min="33" max="33" width="10.83203125" style="19"/>
    <col min="34" max="34" width="26.6640625" style="19" customWidth="1"/>
    <col min="35" max="35" width="4.1640625" style="19" customWidth="1"/>
    <col min="36" max="37" width="10.83203125" style="19"/>
    <col min="38" max="38" width="13.33203125" style="19" customWidth="1"/>
    <col min="39" max="16384" width="10.83203125" style="19"/>
  </cols>
  <sheetData>
    <row r="2" spans="2:45" x14ac:dyDescent="0.2">
      <c r="B2" s="19" t="s">
        <v>25</v>
      </c>
      <c r="F2" s="19" t="s">
        <v>26</v>
      </c>
      <c r="J2" s="19" t="s">
        <v>27</v>
      </c>
      <c r="N2" s="1" t="s">
        <v>31</v>
      </c>
      <c r="R2" s="1" t="s">
        <v>33</v>
      </c>
      <c r="V2" s="1" t="s">
        <v>34</v>
      </c>
      <c r="Z2" s="1" t="s">
        <v>39</v>
      </c>
      <c r="AD2" s="1" t="s">
        <v>41</v>
      </c>
      <c r="AH2" s="19" t="s">
        <v>77</v>
      </c>
      <c r="AL2" s="19" t="s">
        <v>79</v>
      </c>
    </row>
    <row r="3" spans="2:45" x14ac:dyDescent="0.2">
      <c r="B3" s="24" t="s">
        <v>67</v>
      </c>
      <c r="C3" s="13">
        <v>4</v>
      </c>
      <c r="D3" s="14" t="s">
        <v>74</v>
      </c>
      <c r="F3" s="24" t="s">
        <v>16</v>
      </c>
      <c r="G3" s="13">
        <v>12</v>
      </c>
      <c r="H3" s="14"/>
      <c r="J3" s="24" t="s">
        <v>16</v>
      </c>
      <c r="K3" s="13">
        <v>4</v>
      </c>
      <c r="L3" s="23"/>
      <c r="N3" s="24" t="s">
        <v>16</v>
      </c>
      <c r="O3" s="13">
        <v>4</v>
      </c>
      <c r="P3" s="23"/>
      <c r="R3" s="24" t="s">
        <v>24</v>
      </c>
      <c r="S3" s="13">
        <v>2</v>
      </c>
      <c r="T3" s="23"/>
      <c r="V3" s="24" t="s">
        <v>29</v>
      </c>
      <c r="W3" s="13">
        <v>4</v>
      </c>
      <c r="X3" s="23" t="s">
        <v>70</v>
      </c>
      <c r="Z3" s="24" t="s">
        <v>35</v>
      </c>
      <c r="AA3" s="13">
        <v>1</v>
      </c>
      <c r="AB3" s="23"/>
      <c r="AD3" s="24" t="s">
        <v>17</v>
      </c>
      <c r="AE3" s="13">
        <v>4</v>
      </c>
      <c r="AF3" s="14"/>
      <c r="AH3" s="30" t="s">
        <v>78</v>
      </c>
      <c r="AI3" s="31">
        <v>3</v>
      </c>
      <c r="AJ3" s="32"/>
      <c r="AL3" s="38" t="s">
        <v>16</v>
      </c>
      <c r="AM3" s="39">
        <v>4</v>
      </c>
      <c r="AN3" s="23"/>
    </row>
    <row r="4" spans="2:45" x14ac:dyDescent="0.2">
      <c r="B4" s="25" t="s">
        <v>16</v>
      </c>
      <c r="C4" s="1">
        <v>16</v>
      </c>
      <c r="D4" s="26"/>
      <c r="F4" s="20"/>
      <c r="H4" s="21"/>
      <c r="J4" s="20"/>
      <c r="L4" s="21"/>
      <c r="N4" s="25" t="s">
        <v>17</v>
      </c>
      <c r="O4" s="1">
        <v>2</v>
      </c>
      <c r="P4" s="21"/>
      <c r="R4" s="25" t="s">
        <v>18</v>
      </c>
      <c r="S4" s="1">
        <v>1</v>
      </c>
      <c r="T4" s="21"/>
      <c r="V4" s="25" t="s">
        <v>24</v>
      </c>
      <c r="W4" s="1">
        <v>2</v>
      </c>
      <c r="X4" s="21"/>
      <c r="Z4" s="25" t="s">
        <v>71</v>
      </c>
      <c r="AA4" s="1">
        <v>1</v>
      </c>
      <c r="AB4" s="21" t="s">
        <v>72</v>
      </c>
      <c r="AD4" s="25" t="s">
        <v>73</v>
      </c>
      <c r="AE4" s="1">
        <v>1</v>
      </c>
      <c r="AF4" s="26"/>
      <c r="AL4" s="20"/>
      <c r="AN4" s="21"/>
    </row>
    <row r="5" spans="2:45" x14ac:dyDescent="0.2">
      <c r="B5" s="25" t="s">
        <v>69</v>
      </c>
      <c r="C5" s="1">
        <v>4</v>
      </c>
      <c r="D5" s="26"/>
      <c r="F5" s="27" t="s">
        <v>22</v>
      </c>
      <c r="G5" s="29">
        <v>4</v>
      </c>
      <c r="H5" s="28"/>
      <c r="J5" s="25" t="s">
        <v>23</v>
      </c>
      <c r="K5" s="1">
        <v>4</v>
      </c>
      <c r="L5" s="21" t="s">
        <v>70</v>
      </c>
      <c r="N5" s="20"/>
      <c r="P5" s="21"/>
      <c r="R5" s="20"/>
      <c r="T5" s="21"/>
      <c r="V5" s="25" t="s">
        <v>18</v>
      </c>
      <c r="W5" s="1">
        <v>1</v>
      </c>
      <c r="X5" s="21"/>
      <c r="Z5" s="20"/>
      <c r="AB5" s="21"/>
      <c r="AD5" s="20"/>
      <c r="AF5" s="21"/>
      <c r="AL5" s="20" t="s">
        <v>22</v>
      </c>
      <c r="AM5" s="19">
        <v>4</v>
      </c>
      <c r="AN5" s="21"/>
    </row>
    <row r="6" spans="2:45" x14ac:dyDescent="0.2">
      <c r="B6" s="20"/>
      <c r="D6" s="21"/>
      <c r="J6" s="25" t="s">
        <v>24</v>
      </c>
      <c r="K6" s="1">
        <v>6</v>
      </c>
      <c r="L6" s="21"/>
      <c r="N6" s="25" t="s">
        <v>28</v>
      </c>
      <c r="O6" s="1">
        <v>2</v>
      </c>
      <c r="P6" s="21"/>
      <c r="R6" s="25" t="s">
        <v>21</v>
      </c>
      <c r="S6" s="1">
        <v>3</v>
      </c>
      <c r="T6" s="21"/>
      <c r="V6" s="20"/>
      <c r="X6" s="21"/>
      <c r="Z6" s="25" t="s">
        <v>37</v>
      </c>
      <c r="AA6" s="1">
        <v>2</v>
      </c>
      <c r="AB6" s="21"/>
      <c r="AD6" s="25" t="s">
        <v>30</v>
      </c>
      <c r="AE6" s="1">
        <v>4</v>
      </c>
      <c r="AF6" s="26"/>
      <c r="AL6" s="20"/>
      <c r="AN6" s="21"/>
    </row>
    <row r="7" spans="2:45" x14ac:dyDescent="0.2">
      <c r="B7" s="25" t="s">
        <v>68</v>
      </c>
      <c r="C7" s="1">
        <v>4</v>
      </c>
      <c r="D7" s="26" t="s">
        <v>74</v>
      </c>
      <c r="J7" s="20"/>
      <c r="L7" s="21"/>
      <c r="N7" s="25" t="s">
        <v>29</v>
      </c>
      <c r="O7" s="1">
        <v>4</v>
      </c>
      <c r="P7" s="21"/>
      <c r="R7" s="20"/>
      <c r="T7" s="21"/>
      <c r="V7" s="25" t="s">
        <v>21</v>
      </c>
      <c r="W7" s="1">
        <v>7</v>
      </c>
      <c r="X7" s="21"/>
      <c r="Z7" s="27" t="s">
        <v>38</v>
      </c>
      <c r="AA7" s="29">
        <v>1</v>
      </c>
      <c r="AB7" s="22"/>
      <c r="AD7" s="27" t="s">
        <v>40</v>
      </c>
      <c r="AE7" s="29">
        <v>4</v>
      </c>
      <c r="AF7" s="28"/>
      <c r="AL7" s="40" t="s">
        <v>21</v>
      </c>
      <c r="AM7" s="41">
        <v>4</v>
      </c>
      <c r="AN7" s="22"/>
    </row>
    <row r="8" spans="2:45" x14ac:dyDescent="0.2">
      <c r="B8" s="20"/>
      <c r="D8" s="21"/>
      <c r="J8" s="27" t="s">
        <v>21</v>
      </c>
      <c r="K8" s="29">
        <v>10</v>
      </c>
      <c r="L8" s="22"/>
      <c r="N8" s="25" t="s">
        <v>43</v>
      </c>
      <c r="O8" s="1">
        <v>2</v>
      </c>
      <c r="P8" s="21"/>
      <c r="R8" s="27" t="s">
        <v>32</v>
      </c>
      <c r="S8" s="29">
        <v>2</v>
      </c>
      <c r="T8" s="22"/>
      <c r="V8" s="20"/>
      <c r="X8" s="21"/>
    </row>
    <row r="9" spans="2:45" x14ac:dyDescent="0.2">
      <c r="B9" s="25" t="s">
        <v>28</v>
      </c>
      <c r="C9" s="19">
        <v>4</v>
      </c>
      <c r="D9" s="21" t="s">
        <v>75</v>
      </c>
      <c r="N9" s="27" t="s">
        <v>21</v>
      </c>
      <c r="O9" s="29">
        <v>4</v>
      </c>
      <c r="P9" s="22"/>
      <c r="V9" s="27" t="s">
        <v>32</v>
      </c>
      <c r="W9" s="29">
        <v>2</v>
      </c>
      <c r="X9" s="22"/>
    </row>
    <row r="10" spans="2:45" x14ac:dyDescent="0.2">
      <c r="B10" s="20"/>
      <c r="D10" s="21"/>
    </row>
    <row r="11" spans="2:45" x14ac:dyDescent="0.2">
      <c r="B11" s="25" t="s">
        <v>20</v>
      </c>
      <c r="C11" s="1">
        <v>8</v>
      </c>
      <c r="D11" s="26" t="s">
        <v>76</v>
      </c>
    </row>
    <row r="12" spans="2:45" x14ac:dyDescent="0.2">
      <c r="B12" s="25" t="s">
        <v>19</v>
      </c>
      <c r="C12" s="1">
        <v>2</v>
      </c>
      <c r="D12" s="26"/>
      <c r="AS12"/>
    </row>
    <row r="13" spans="2:45" x14ac:dyDescent="0.2">
      <c r="B13" s="25" t="s">
        <v>18</v>
      </c>
      <c r="C13" s="1">
        <v>6</v>
      </c>
      <c r="D13" s="26"/>
      <c r="AR13"/>
      <c r="AS13"/>
    </row>
    <row r="14" spans="2:45" x14ac:dyDescent="0.2">
      <c r="B14" s="20"/>
      <c r="D14" s="21"/>
      <c r="AR14"/>
      <c r="AS14"/>
    </row>
    <row r="15" spans="2:45" x14ac:dyDescent="0.2">
      <c r="B15" s="27" t="s">
        <v>21</v>
      </c>
      <c r="C15" s="29">
        <v>8</v>
      </c>
      <c r="D15" s="28" t="s">
        <v>76</v>
      </c>
      <c r="AR15"/>
      <c r="AS15"/>
    </row>
    <row r="18" spans="2:32" x14ac:dyDescent="0.2">
      <c r="F18" s="1" t="s">
        <v>55</v>
      </c>
      <c r="J18" s="1" t="s">
        <v>56</v>
      </c>
      <c r="N18" s="1" t="s">
        <v>57</v>
      </c>
      <c r="R18" s="1" t="s">
        <v>58</v>
      </c>
      <c r="V18" s="1" t="s">
        <v>59</v>
      </c>
      <c r="Z18" s="1" t="s">
        <v>60</v>
      </c>
      <c r="AD18" s="1" t="s">
        <v>61</v>
      </c>
    </row>
    <row r="19" spans="2:32" x14ac:dyDescent="0.2">
      <c r="F19" s="24" t="s">
        <v>73</v>
      </c>
      <c r="G19" s="13">
        <v>1</v>
      </c>
      <c r="H19" s="14"/>
      <c r="J19" s="24" t="s">
        <v>17</v>
      </c>
      <c r="K19" s="13">
        <v>6</v>
      </c>
      <c r="L19" s="23"/>
      <c r="N19" s="24" t="s">
        <v>17</v>
      </c>
      <c r="O19" s="13">
        <v>6</v>
      </c>
      <c r="P19" s="23"/>
      <c r="R19" s="24" t="s">
        <v>17</v>
      </c>
      <c r="S19" s="13">
        <v>6</v>
      </c>
      <c r="T19" s="23"/>
      <c r="V19" s="24" t="s">
        <v>17</v>
      </c>
      <c r="W19" s="13">
        <v>4</v>
      </c>
      <c r="X19" s="23"/>
      <c r="Z19" s="24" t="s">
        <v>15</v>
      </c>
      <c r="AA19" s="13">
        <v>2</v>
      </c>
      <c r="AB19" s="23"/>
      <c r="AD19" s="24" t="s">
        <v>15</v>
      </c>
      <c r="AE19" s="13">
        <v>4</v>
      </c>
      <c r="AF19" s="14"/>
    </row>
    <row r="20" spans="2:32" x14ac:dyDescent="0.2">
      <c r="B20" s="1" t="s">
        <v>54</v>
      </c>
      <c r="F20" s="20"/>
      <c r="H20" s="21"/>
      <c r="J20" s="20"/>
      <c r="L20" s="21"/>
      <c r="N20" s="20"/>
      <c r="P20" s="21"/>
      <c r="R20" s="20"/>
      <c r="T20" s="21"/>
      <c r="V20" s="20"/>
      <c r="X20" s="21"/>
      <c r="Z20" s="20"/>
      <c r="AB20" s="21"/>
      <c r="AD20" s="20"/>
      <c r="AF20" s="21"/>
    </row>
    <row r="21" spans="2:32" x14ac:dyDescent="0.2">
      <c r="B21" s="24" t="s">
        <v>15</v>
      </c>
      <c r="C21" s="13">
        <v>7</v>
      </c>
      <c r="D21" s="14"/>
      <c r="F21" s="25" t="s">
        <v>43</v>
      </c>
      <c r="G21" s="1">
        <v>4</v>
      </c>
      <c r="H21" s="26"/>
      <c r="J21" s="25" t="s">
        <v>45</v>
      </c>
      <c r="K21" s="1">
        <v>2</v>
      </c>
      <c r="L21" s="26" t="s">
        <v>46</v>
      </c>
      <c r="N21" s="25" t="s">
        <v>45</v>
      </c>
      <c r="O21" s="1">
        <v>2</v>
      </c>
      <c r="P21" s="26" t="s">
        <v>52</v>
      </c>
      <c r="R21" s="27" t="s">
        <v>30</v>
      </c>
      <c r="S21" s="29">
        <v>2</v>
      </c>
      <c r="T21" s="22"/>
      <c r="V21" s="25" t="s">
        <v>23</v>
      </c>
      <c r="W21" s="1">
        <v>4</v>
      </c>
      <c r="X21" s="21"/>
      <c r="Z21" s="27" t="s">
        <v>30</v>
      </c>
      <c r="AA21" s="29">
        <v>2</v>
      </c>
      <c r="AB21" s="22"/>
      <c r="AD21" s="25" t="s">
        <v>28</v>
      </c>
      <c r="AE21" s="1">
        <v>4</v>
      </c>
      <c r="AF21" s="26"/>
    </row>
    <row r="22" spans="2:32" x14ac:dyDescent="0.2">
      <c r="B22" s="25" t="s">
        <v>16</v>
      </c>
      <c r="C22" s="1">
        <v>4</v>
      </c>
      <c r="D22" s="26"/>
      <c r="F22" s="25" t="s">
        <v>45</v>
      </c>
      <c r="G22" s="1">
        <v>2</v>
      </c>
      <c r="H22" s="26"/>
      <c r="J22" s="25" t="s">
        <v>47</v>
      </c>
      <c r="K22" s="1">
        <v>2</v>
      </c>
      <c r="L22" s="26" t="s">
        <v>48</v>
      </c>
      <c r="N22" s="25" t="s">
        <v>47</v>
      </c>
      <c r="O22" s="1">
        <v>2</v>
      </c>
      <c r="P22" s="26" t="s">
        <v>48</v>
      </c>
      <c r="V22" s="27" t="s">
        <v>21</v>
      </c>
      <c r="W22" s="29">
        <v>4</v>
      </c>
      <c r="X22" s="22"/>
      <c r="AD22" s="20"/>
      <c r="AF22" s="21"/>
    </row>
    <row r="23" spans="2:32" x14ac:dyDescent="0.2">
      <c r="B23" s="25" t="s">
        <v>73</v>
      </c>
      <c r="C23" s="1">
        <v>1</v>
      </c>
      <c r="D23" s="26"/>
      <c r="F23" s="20"/>
      <c r="H23" s="21"/>
      <c r="J23" s="25" t="s">
        <v>49</v>
      </c>
      <c r="K23" s="1">
        <v>2</v>
      </c>
      <c r="L23" s="26" t="s">
        <v>50</v>
      </c>
      <c r="N23" s="27" t="s">
        <v>49</v>
      </c>
      <c r="O23" s="29">
        <v>2</v>
      </c>
      <c r="P23" s="28" t="s">
        <v>53</v>
      </c>
      <c r="AD23" s="25" t="s">
        <v>19</v>
      </c>
      <c r="AE23" s="1">
        <v>2</v>
      </c>
      <c r="AF23" s="26"/>
    </row>
    <row r="24" spans="2:32" x14ac:dyDescent="0.2">
      <c r="B24" s="20"/>
      <c r="D24" s="21"/>
      <c r="F24" s="27" t="s">
        <v>44</v>
      </c>
      <c r="G24" s="29">
        <v>4</v>
      </c>
      <c r="H24" s="28"/>
      <c r="J24" s="20"/>
      <c r="L24" s="21"/>
      <c r="AD24" s="27" t="s">
        <v>21</v>
      </c>
      <c r="AE24" s="29">
        <v>2</v>
      </c>
      <c r="AF24" s="28"/>
    </row>
    <row r="25" spans="2:32" x14ac:dyDescent="0.2">
      <c r="B25" s="25" t="s">
        <v>29</v>
      </c>
      <c r="C25" s="1">
        <v>2</v>
      </c>
      <c r="D25" s="26"/>
      <c r="J25" s="25" t="s">
        <v>42</v>
      </c>
      <c r="K25" s="1">
        <v>2</v>
      </c>
      <c r="L25" s="26" t="s">
        <v>51</v>
      </c>
    </row>
    <row r="26" spans="2:32" x14ac:dyDescent="0.2">
      <c r="B26" s="25" t="s">
        <v>42</v>
      </c>
      <c r="C26" s="1">
        <v>1</v>
      </c>
      <c r="D26" s="26"/>
      <c r="J26" s="27" t="s">
        <v>21</v>
      </c>
      <c r="K26" s="29">
        <v>2</v>
      </c>
      <c r="L26" s="28" t="s">
        <v>51</v>
      </c>
    </row>
    <row r="27" spans="2:32" x14ac:dyDescent="0.2">
      <c r="B27" s="25" t="s">
        <v>28</v>
      </c>
      <c r="C27" s="1">
        <v>4</v>
      </c>
      <c r="D27" s="26"/>
    </row>
    <row r="28" spans="2:32" x14ac:dyDescent="0.2">
      <c r="B28" s="20"/>
      <c r="D28" s="21"/>
    </row>
    <row r="29" spans="2:32" x14ac:dyDescent="0.2">
      <c r="B29" s="25" t="s">
        <v>43</v>
      </c>
      <c r="C29" s="1">
        <v>4</v>
      </c>
      <c r="D29" s="26"/>
    </row>
    <row r="30" spans="2:32" x14ac:dyDescent="0.2">
      <c r="B30" s="20"/>
      <c r="D30" s="21"/>
    </row>
    <row r="31" spans="2:32" x14ac:dyDescent="0.2">
      <c r="B31" s="25" t="s">
        <v>21</v>
      </c>
      <c r="C31" s="1">
        <v>2</v>
      </c>
      <c r="D31" s="26"/>
    </row>
    <row r="32" spans="2:32" x14ac:dyDescent="0.2">
      <c r="B32" s="27" t="s">
        <v>44</v>
      </c>
      <c r="C32" s="29">
        <v>4</v>
      </c>
      <c r="D32" s="28"/>
      <c r="G32" s="1"/>
      <c r="H32" s="1"/>
      <c r="I32" s="1"/>
      <c r="J32" s="1"/>
      <c r="K32" s="1"/>
      <c r="L32" s="1"/>
    </row>
    <row r="33" spans="2:2" x14ac:dyDescent="0.2">
      <c r="B33" s="1"/>
    </row>
    <row r="34" spans="2:2" x14ac:dyDescent="0.2">
      <c r="B34" s="1"/>
    </row>
    <row r="35" spans="2:2" x14ac:dyDescent="0.2">
      <c r="B35" s="1"/>
    </row>
    <row r="36" spans="2:2" x14ac:dyDescent="0.2">
      <c r="B36" s="1"/>
    </row>
    <row r="37" spans="2:2" x14ac:dyDescent="0.2">
      <c r="B37" s="1"/>
    </row>
    <row r="38" spans="2:2" x14ac:dyDescent="0.2">
      <c r="B38" s="1"/>
    </row>
    <row r="39" spans="2:2" x14ac:dyDescent="0.2">
      <c r="B39" s="1"/>
    </row>
    <row r="40" spans="2:2" x14ac:dyDescent="0.2">
      <c r="B40" s="1"/>
    </row>
    <row r="41" spans="2:2" x14ac:dyDescent="0.2">
      <c r="B41" s="1"/>
    </row>
    <row r="42" spans="2:2" x14ac:dyDescent="0.2">
      <c r="B42" s="1"/>
    </row>
    <row r="43" spans="2:2" x14ac:dyDescent="0.2">
      <c r="B43" s="1"/>
    </row>
    <row r="44" spans="2:2" x14ac:dyDescent="0.2">
      <c r="B44" s="1"/>
    </row>
    <row r="45" spans="2:2" x14ac:dyDescent="0.2">
      <c r="B45" s="1"/>
    </row>
    <row r="46" spans="2:2" x14ac:dyDescent="0.2">
      <c r="B46" s="1"/>
    </row>
    <row r="47" spans="2:2" x14ac:dyDescent="0.2">
      <c r="B47" s="1"/>
    </row>
    <row r="48" spans="2:2" x14ac:dyDescent="0.2">
      <c r="B48" s="1"/>
    </row>
    <row r="49" spans="2:2" x14ac:dyDescent="0.2">
      <c r="B49" s="1"/>
    </row>
    <row r="50" spans="2:2" x14ac:dyDescent="0.2">
      <c r="B50" s="1"/>
    </row>
    <row r="51" spans="2:2" x14ac:dyDescent="0.2">
      <c r="B51" s="1"/>
    </row>
    <row r="52" spans="2:2" x14ac:dyDescent="0.2">
      <c r="B52" s="1"/>
    </row>
    <row r="53" spans="2:2" x14ac:dyDescent="0.2">
      <c r="B53" s="1"/>
    </row>
    <row r="54" spans="2:2" x14ac:dyDescent="0.2">
      <c r="B54" s="1"/>
    </row>
    <row r="55" spans="2:2" x14ac:dyDescent="0.2">
      <c r="B55" s="1"/>
    </row>
    <row r="56" spans="2:2" x14ac:dyDescent="0.2">
      <c r="B56" s="1"/>
    </row>
    <row r="57" spans="2:2" x14ac:dyDescent="0.2">
      <c r="B5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A6369-A534-B74C-B1EF-BFBD994F6239}">
  <dimension ref="B2:V34"/>
  <sheetViews>
    <sheetView zoomScale="92" zoomScaleNormal="92" workbookViewId="0">
      <selection activeCell="L34" sqref="L34"/>
    </sheetView>
  </sheetViews>
  <sheetFormatPr baseColWidth="10" defaultRowHeight="16" x14ac:dyDescent="0.2"/>
  <cols>
    <col min="1" max="1" width="3.33203125" customWidth="1"/>
    <col min="2" max="2" width="19" customWidth="1"/>
    <col min="3" max="3" width="19.6640625" customWidth="1"/>
    <col min="4" max="4" width="6.1640625" customWidth="1"/>
    <col min="5" max="5" width="7.1640625" customWidth="1"/>
    <col min="6" max="6" width="26.33203125" customWidth="1"/>
    <col min="7" max="7" width="13.6640625" customWidth="1"/>
    <col min="8" max="8" width="11.33203125" customWidth="1"/>
    <col min="9" max="9" width="8.33203125" customWidth="1"/>
    <col min="10" max="10" width="13.6640625" customWidth="1"/>
    <col min="11" max="12" width="15.83203125" customWidth="1"/>
    <col min="13" max="13" width="16.33203125" customWidth="1"/>
    <col min="14" max="14" width="8.83203125" customWidth="1"/>
    <col min="15" max="15" width="11.5" customWidth="1"/>
    <col min="17" max="17" width="13.6640625" customWidth="1"/>
    <col min="18" max="18" width="15" customWidth="1"/>
    <col min="19" max="19" width="14.1640625" customWidth="1"/>
    <col min="20" max="20" width="14" customWidth="1"/>
  </cols>
  <sheetData>
    <row r="2" spans="2:22" x14ac:dyDescent="0.2">
      <c r="B2" s="4"/>
      <c r="C2" s="5" t="s">
        <v>25</v>
      </c>
      <c r="D2" s="5" t="s">
        <v>26</v>
      </c>
      <c r="E2" s="5" t="s">
        <v>27</v>
      </c>
      <c r="F2" s="13" t="s">
        <v>31</v>
      </c>
      <c r="G2" s="13" t="s">
        <v>33</v>
      </c>
      <c r="H2" s="13" t="s">
        <v>34</v>
      </c>
      <c r="I2" s="13" t="s">
        <v>39</v>
      </c>
      <c r="J2" s="13" t="s">
        <v>41</v>
      </c>
      <c r="K2" s="13" t="s">
        <v>77</v>
      </c>
      <c r="L2" s="13" t="s">
        <v>79</v>
      </c>
      <c r="M2" s="13" t="s">
        <v>54</v>
      </c>
      <c r="N2" s="13" t="s">
        <v>55</v>
      </c>
      <c r="O2" s="13" t="s">
        <v>56</v>
      </c>
      <c r="P2" s="13" t="s">
        <v>57</v>
      </c>
      <c r="Q2" s="13" t="s">
        <v>58</v>
      </c>
      <c r="R2" s="13" t="s">
        <v>59</v>
      </c>
      <c r="S2" s="13" t="s">
        <v>60</v>
      </c>
      <c r="T2" s="14" t="s">
        <v>61</v>
      </c>
    </row>
    <row r="3" spans="2:22" x14ac:dyDescent="0.2">
      <c r="B3" s="2" t="s">
        <v>22</v>
      </c>
      <c r="C3" t="str">
        <f>_xlfn.XLOOKUP(B3,'Nuts&amp;Bolts'!B$3:B$15,'Nuts&amp;Bolts'!C$3:C$15,"",0,1)</f>
        <v/>
      </c>
      <c r="D3">
        <f>_xlfn.XLOOKUP(B3,'Nuts&amp;Bolts'!F$3:F$5,'Nuts&amp;Bolts'!G$3:G$5,"",0,1)</f>
        <v>4</v>
      </c>
      <c r="E3" t="str">
        <f>_xlfn.XLOOKUP(B3,'Nuts&amp;Bolts'!J$3:J$8,'Nuts&amp;Bolts'!K$3:K$8,"",0,1)</f>
        <v/>
      </c>
      <c r="F3" t="str">
        <f>_xlfn.XLOOKUP(B3,'Nuts&amp;Bolts'!N$3:N$8,'Nuts&amp;Bolts'!O$3:O$8,"",0,1)</f>
        <v/>
      </c>
      <c r="G3" t="str">
        <f>_xlfn.XLOOKUP(B3,'Nuts&amp;Bolts'!R$3:R$8,'Nuts&amp;Bolts'!S$3:S$8,"",0,1)</f>
        <v/>
      </c>
      <c r="H3" t="str">
        <f>_xlfn.XLOOKUP(B3,'Nuts&amp;Bolts'!V$3:V$9,'Nuts&amp;Bolts'!W$3:W$9,"",0,1)</f>
        <v/>
      </c>
      <c r="I3" t="str">
        <f>_xlfn.XLOOKUP(B3,'Nuts&amp;Bolts'!Z$3:Z$7,'Nuts&amp;Bolts'!AA$3:AA$7,"",0,1)</f>
        <v/>
      </c>
      <c r="J3" t="str">
        <f>_xlfn.XLOOKUP(B3,'Nuts&amp;Bolts'!AD$3:AD$7,'Nuts&amp;Bolts'!AE$3:AE$7,"",0,1)</f>
        <v/>
      </c>
      <c r="K3" t="str">
        <f>_xlfn.XLOOKUP(B3,'Nuts&amp;Bolts'!AH$3:AH$7,'Nuts&amp;Bolts'!AI$3:AI$7,"",0,1)</f>
        <v/>
      </c>
      <c r="L3">
        <f>_xlfn.XLOOKUP(B3,'Nuts&amp;Bolts'!AL$3:AL$7,'Nuts&amp;Bolts'!AM$3:AM$7,"",0,1)</f>
        <v>4</v>
      </c>
      <c r="M3" t="str">
        <f>_xlfn.XLOOKUP(B3,'Nuts&amp;Bolts'!B$21:B$32,'Nuts&amp;Bolts'!C$21:C$32,"",0,1)</f>
        <v/>
      </c>
      <c r="N3" t="str">
        <f>_xlfn.XLOOKUP(B3,'Nuts&amp;Bolts'!F$19:F$22,'Nuts&amp;Bolts'!G$19:G$22,"",0,1)</f>
        <v/>
      </c>
      <c r="O3" t="str">
        <f>_xlfn.XLOOKUP(B3,'Nuts&amp;Bolts'!J$19:J$26,'Nuts&amp;Bolts'!K$19:K$26,"",0,1)</f>
        <v/>
      </c>
      <c r="P3" t="str">
        <f>_xlfn.XLOOKUP(B3,'Nuts&amp;Bolts'!N$19:N$23,'Nuts&amp;Bolts'!O$19:O$23,"",0,1)</f>
        <v/>
      </c>
      <c r="Q3" t="str">
        <f>_xlfn.XLOOKUP(B3,'Nuts&amp;Bolts'!R$19:R$21,'Nuts&amp;Bolts'!S$19:S$21,"",0,1)</f>
        <v/>
      </c>
      <c r="R3" t="str">
        <f>_xlfn.XLOOKUP(B3,'Nuts&amp;Bolts'!V$19:V$22,'Nuts&amp;Bolts'!W$19:W$22,"",0,1)</f>
        <v/>
      </c>
      <c r="S3" t="str">
        <f>_xlfn.XLOOKUP(B3,'Nuts&amp;Bolts'!Z$19:Z$21,'Nuts&amp;Bolts'!AA$19:AA$21,"",0,1)</f>
        <v/>
      </c>
      <c r="T3" s="8" t="str">
        <f>_xlfn.XLOOKUP(B3,'Nuts&amp;Bolts'!AD$19:AD$24,'Nuts&amp;Bolts'!AE$19:AE$24,"",0,1)</f>
        <v/>
      </c>
    </row>
    <row r="4" spans="2:22" x14ac:dyDescent="0.2">
      <c r="B4" s="2" t="s">
        <v>23</v>
      </c>
      <c r="C4" t="str">
        <f>_xlfn.XLOOKUP(B4,'Nuts&amp;Bolts'!B$3:B$15,'Nuts&amp;Bolts'!C$3:C$15,"",0,1)</f>
        <v/>
      </c>
      <c r="D4" t="str">
        <f>_xlfn.XLOOKUP(B4,'Nuts&amp;Bolts'!F$3:F$5,'Nuts&amp;Bolts'!G$3:G$5,"",0,1)</f>
        <v/>
      </c>
      <c r="E4">
        <f>_xlfn.XLOOKUP(B4,'Nuts&amp;Bolts'!J$3:J$8,'Nuts&amp;Bolts'!K$3:K$8,"",0,1)</f>
        <v>4</v>
      </c>
      <c r="F4" t="str">
        <f>_xlfn.XLOOKUP(B4,'Nuts&amp;Bolts'!N$3:N$8,'Nuts&amp;Bolts'!O$3:O$8,"",0,1)</f>
        <v/>
      </c>
      <c r="G4" t="str">
        <f>_xlfn.XLOOKUP(B4,'Nuts&amp;Bolts'!R$3:R$8,'Nuts&amp;Bolts'!S$3:S$8,"",0,1)</f>
        <v/>
      </c>
      <c r="H4" t="str">
        <f>_xlfn.XLOOKUP(B4,'Nuts&amp;Bolts'!V$3:V$9,'Nuts&amp;Bolts'!W$3:W$9,"",0,1)</f>
        <v/>
      </c>
      <c r="I4" t="str">
        <f>_xlfn.XLOOKUP(B4,'Nuts&amp;Bolts'!Z$3:Z$7,'Nuts&amp;Bolts'!AA$3:AA$7,"",0,1)</f>
        <v/>
      </c>
      <c r="J4" t="str">
        <f>_xlfn.XLOOKUP(B4,'Nuts&amp;Bolts'!AD$3:AD$7,'Nuts&amp;Bolts'!AE$3:AE$7,"",0,1)</f>
        <v/>
      </c>
      <c r="K4" t="str">
        <f>_xlfn.XLOOKUP(B4,'Nuts&amp;Bolts'!AH$3:AH$7,'Nuts&amp;Bolts'!AI$3:AI$7,"",0,1)</f>
        <v/>
      </c>
      <c r="L4" t="str">
        <f>_xlfn.XLOOKUP(B4,'Nuts&amp;Bolts'!AL$3:AL$7,'Nuts&amp;Bolts'!AM$3:AM$7,"",0,1)</f>
        <v/>
      </c>
      <c r="M4" t="str">
        <f>_xlfn.XLOOKUP(B4,'Nuts&amp;Bolts'!B$21:B$32,'Nuts&amp;Bolts'!C$21:C$32,"",0,1)</f>
        <v/>
      </c>
      <c r="N4" t="str">
        <f>_xlfn.XLOOKUP(B4,'Nuts&amp;Bolts'!F$19:F$22,'Nuts&amp;Bolts'!G$19:G$22,"",0,1)</f>
        <v/>
      </c>
      <c r="O4" t="str">
        <f>_xlfn.XLOOKUP(B4,'Nuts&amp;Bolts'!J$19:J$26,'Nuts&amp;Bolts'!K$19:K$26,"",0,1)</f>
        <v/>
      </c>
      <c r="P4" t="str">
        <f>_xlfn.XLOOKUP(B4,'Nuts&amp;Bolts'!N$19:N$23,'Nuts&amp;Bolts'!O$19:O$23,"",0,1)</f>
        <v/>
      </c>
      <c r="Q4" t="str">
        <f>_xlfn.XLOOKUP(B4,'Nuts&amp;Bolts'!R$19:R$21,'Nuts&amp;Bolts'!S$19:S$21,"",0,1)</f>
        <v/>
      </c>
      <c r="R4">
        <f>_xlfn.XLOOKUP(B4,'Nuts&amp;Bolts'!V$19:V$22,'Nuts&amp;Bolts'!W$19:W$22,"",0,1)</f>
        <v>4</v>
      </c>
      <c r="S4" t="str">
        <f>_xlfn.XLOOKUP(B4,'Nuts&amp;Bolts'!Z$19:Z$21,'Nuts&amp;Bolts'!AA$19:AA$21,"",0,1)</f>
        <v/>
      </c>
      <c r="T4" s="8" t="str">
        <f>_xlfn.XLOOKUP(B4,'Nuts&amp;Bolts'!AD$19:AD$24,'Nuts&amp;Bolts'!AE$19:AE$24,"",0,1)</f>
        <v/>
      </c>
    </row>
    <row r="5" spans="2:22" x14ac:dyDescent="0.2">
      <c r="B5" s="2" t="s">
        <v>20</v>
      </c>
      <c r="C5">
        <f>_xlfn.XLOOKUP(B5,'Nuts&amp;Bolts'!B$3:B$15,'Nuts&amp;Bolts'!C$3:C$15,"",0,1)</f>
        <v>8</v>
      </c>
      <c r="D5" t="str">
        <f>_xlfn.XLOOKUP(B5,'Nuts&amp;Bolts'!F$3:F$5,'Nuts&amp;Bolts'!G$3:G$5,"",0,1)</f>
        <v/>
      </c>
      <c r="E5" t="str">
        <f>_xlfn.XLOOKUP(B5,'Nuts&amp;Bolts'!J$3:J$8,'Nuts&amp;Bolts'!K$3:K$8,"",0,1)</f>
        <v/>
      </c>
      <c r="F5" t="str">
        <f>_xlfn.XLOOKUP(B5,'Nuts&amp;Bolts'!N$3:N$8,'Nuts&amp;Bolts'!O$3:O$8,"",0,1)</f>
        <v/>
      </c>
      <c r="G5" t="str">
        <f>_xlfn.XLOOKUP(B5,'Nuts&amp;Bolts'!R$3:R$8,'Nuts&amp;Bolts'!S$3:S$8,"",0,1)</f>
        <v/>
      </c>
      <c r="H5" t="str">
        <f>_xlfn.XLOOKUP(B5,'Nuts&amp;Bolts'!V$3:V$9,'Nuts&amp;Bolts'!W$3:W$9,"",0,1)</f>
        <v/>
      </c>
      <c r="I5" t="str">
        <f>_xlfn.XLOOKUP(B5,'Nuts&amp;Bolts'!Z$3:Z$7,'Nuts&amp;Bolts'!AA$3:AA$7,"",0,1)</f>
        <v/>
      </c>
      <c r="J5" t="str">
        <f>_xlfn.XLOOKUP(B5,'Nuts&amp;Bolts'!AD$3:AD$7,'Nuts&amp;Bolts'!AE$3:AE$7,"",0,1)</f>
        <v/>
      </c>
      <c r="K5" t="str">
        <f>_xlfn.XLOOKUP(B5,'Nuts&amp;Bolts'!AH$3:AH$7,'Nuts&amp;Bolts'!AI$3:AI$7,"",0,1)</f>
        <v/>
      </c>
      <c r="L5" t="str">
        <f>_xlfn.XLOOKUP(B5,'Nuts&amp;Bolts'!AL$3:AL$7,'Nuts&amp;Bolts'!AM$3:AM$7,"",0,1)</f>
        <v/>
      </c>
      <c r="M5" t="str">
        <f>_xlfn.XLOOKUP(B5,'Nuts&amp;Bolts'!B$21:B$32,'Nuts&amp;Bolts'!C$21:C$32,"",0,1)</f>
        <v/>
      </c>
      <c r="N5" t="str">
        <f>_xlfn.XLOOKUP(B5,'Nuts&amp;Bolts'!F$19:F$22,'Nuts&amp;Bolts'!G$19:G$22,"",0,1)</f>
        <v/>
      </c>
      <c r="O5" t="str">
        <f>_xlfn.XLOOKUP(B5,'Nuts&amp;Bolts'!J$19:J$26,'Nuts&amp;Bolts'!K$19:K$26,"",0,1)</f>
        <v/>
      </c>
      <c r="P5" t="str">
        <f>_xlfn.XLOOKUP(B5,'Nuts&amp;Bolts'!N$19:N$23,'Nuts&amp;Bolts'!O$19:O$23,"",0,1)</f>
        <v/>
      </c>
      <c r="Q5" t="str">
        <f>_xlfn.XLOOKUP(B5,'Nuts&amp;Bolts'!R$19:R$21,'Nuts&amp;Bolts'!S$19:S$21,"",0,1)</f>
        <v/>
      </c>
      <c r="R5" t="str">
        <f>_xlfn.XLOOKUP(B5,'Nuts&amp;Bolts'!V$19:V$22,'Nuts&amp;Bolts'!W$19:W$22,"",0,1)</f>
        <v/>
      </c>
      <c r="S5" t="str">
        <f>_xlfn.XLOOKUP(B5,'Nuts&amp;Bolts'!Z$19:Z$21,'Nuts&amp;Bolts'!AA$19:AA$21,"",0,1)</f>
        <v/>
      </c>
      <c r="T5" s="8" t="str">
        <f>_xlfn.XLOOKUP(B5,'Nuts&amp;Bolts'!AD$19:AD$24,'Nuts&amp;Bolts'!AE$19:AE$24,"",0,1)</f>
        <v/>
      </c>
    </row>
    <row r="6" spans="2:22" x14ac:dyDescent="0.2">
      <c r="B6" s="2" t="s">
        <v>29</v>
      </c>
      <c r="C6" t="str">
        <f>_xlfn.XLOOKUP(B6,'Nuts&amp;Bolts'!B$3:B$15,'Nuts&amp;Bolts'!C$3:C$15,"",0,1)</f>
        <v/>
      </c>
      <c r="D6" t="str">
        <f>_xlfn.XLOOKUP(B6,'Nuts&amp;Bolts'!F$3:F$5,'Nuts&amp;Bolts'!G$3:G$5,"",0,1)</f>
        <v/>
      </c>
      <c r="E6" t="str">
        <f>_xlfn.XLOOKUP(B6,'Nuts&amp;Bolts'!J$3:J$8,'Nuts&amp;Bolts'!K$3:K$8,"",0,1)</f>
        <v/>
      </c>
      <c r="F6">
        <f>_xlfn.XLOOKUP(B6,'Nuts&amp;Bolts'!N$3:N$8,'Nuts&amp;Bolts'!O$3:O$8,"",0,1)</f>
        <v>4</v>
      </c>
      <c r="G6" t="str">
        <f>_xlfn.XLOOKUP(B6,'Nuts&amp;Bolts'!R$3:R$8,'Nuts&amp;Bolts'!S$3:S$8,"",0,1)</f>
        <v/>
      </c>
      <c r="H6">
        <f>_xlfn.XLOOKUP(B6,'Nuts&amp;Bolts'!V$3:V$9,'Nuts&amp;Bolts'!W$3:W$9,"",0,1)</f>
        <v>4</v>
      </c>
      <c r="I6" t="str">
        <f>_xlfn.XLOOKUP(B6,'Nuts&amp;Bolts'!Z$3:Z$7,'Nuts&amp;Bolts'!AA$3:AA$7,"",0,1)</f>
        <v/>
      </c>
      <c r="J6" t="str">
        <f>_xlfn.XLOOKUP(B6,'Nuts&amp;Bolts'!AD$3:AD$7,'Nuts&amp;Bolts'!AE$3:AE$7,"",0,1)</f>
        <v/>
      </c>
      <c r="K6" t="str">
        <f>_xlfn.XLOOKUP(B6,'Nuts&amp;Bolts'!AH$3:AH$7,'Nuts&amp;Bolts'!AI$3:AI$7,"",0,1)</f>
        <v/>
      </c>
      <c r="L6" t="str">
        <f>_xlfn.XLOOKUP(B6,'Nuts&amp;Bolts'!AL$3:AL$7,'Nuts&amp;Bolts'!AM$3:AM$7,"",0,1)</f>
        <v/>
      </c>
      <c r="M6">
        <f>_xlfn.XLOOKUP(B6,'Nuts&amp;Bolts'!B$21:B$32,'Nuts&amp;Bolts'!C$21:C$32,"",0,1)</f>
        <v>2</v>
      </c>
      <c r="N6" t="str">
        <f>_xlfn.XLOOKUP(B6,'Nuts&amp;Bolts'!F$19:F$22,'Nuts&amp;Bolts'!G$19:G$22,"",0,1)</f>
        <v/>
      </c>
      <c r="O6" t="str">
        <f>_xlfn.XLOOKUP(B6,'Nuts&amp;Bolts'!J$19:J$26,'Nuts&amp;Bolts'!K$19:K$26,"",0,1)</f>
        <v/>
      </c>
      <c r="P6" t="str">
        <f>_xlfn.XLOOKUP(B6,'Nuts&amp;Bolts'!N$19:N$23,'Nuts&amp;Bolts'!O$19:O$23,"",0,1)</f>
        <v/>
      </c>
      <c r="Q6" t="str">
        <f>_xlfn.XLOOKUP(B6,'Nuts&amp;Bolts'!R$19:R$21,'Nuts&amp;Bolts'!S$19:S$21,"",0,1)</f>
        <v/>
      </c>
      <c r="R6" t="str">
        <f>_xlfn.XLOOKUP(B6,'Nuts&amp;Bolts'!V$19:V$22,'Nuts&amp;Bolts'!W$19:W$22,"",0,1)</f>
        <v/>
      </c>
      <c r="S6" t="str">
        <f>_xlfn.XLOOKUP(B6,'Nuts&amp;Bolts'!Z$19:Z$21,'Nuts&amp;Bolts'!AA$19:AA$21,"",0,1)</f>
        <v/>
      </c>
      <c r="T6" s="8" t="str">
        <f>_xlfn.XLOOKUP(B6,'Nuts&amp;Bolts'!AD$19:AD$24,'Nuts&amp;Bolts'!AE$19:AE$24,"",0,1)</f>
        <v/>
      </c>
    </row>
    <row r="7" spans="2:22" x14ac:dyDescent="0.2">
      <c r="B7" s="2" t="s">
        <v>19</v>
      </c>
      <c r="C7">
        <f>_xlfn.XLOOKUP(B7,'Nuts&amp;Bolts'!B$3:B$15,'Nuts&amp;Bolts'!C$3:C$15,"",0,1)</f>
        <v>2</v>
      </c>
      <c r="D7" t="str">
        <f>_xlfn.XLOOKUP(B7,'Nuts&amp;Bolts'!F$3:F$5,'Nuts&amp;Bolts'!G$3:G$5,"",0,1)</f>
        <v/>
      </c>
      <c r="E7" t="str">
        <f>_xlfn.XLOOKUP(B7,'Nuts&amp;Bolts'!J$3:J$8,'Nuts&amp;Bolts'!K$3:K$8,"",0,1)</f>
        <v/>
      </c>
      <c r="F7" t="str">
        <f>_xlfn.XLOOKUP(B7,'Nuts&amp;Bolts'!N$3:N$8,'Nuts&amp;Bolts'!O$3:O$8,"",0,1)</f>
        <v/>
      </c>
      <c r="G7" t="str">
        <f>_xlfn.XLOOKUP(B7,'Nuts&amp;Bolts'!R$3:R$8,'Nuts&amp;Bolts'!S$3:S$8,"",0,1)</f>
        <v/>
      </c>
      <c r="H7" t="str">
        <f>_xlfn.XLOOKUP(B7,'Nuts&amp;Bolts'!V$3:V$9,'Nuts&amp;Bolts'!W$3:W$9,"",0,1)</f>
        <v/>
      </c>
      <c r="I7" t="str">
        <f>_xlfn.XLOOKUP(B7,'Nuts&amp;Bolts'!Z$3:Z$7,'Nuts&amp;Bolts'!AA$3:AA$7,"",0,1)</f>
        <v/>
      </c>
      <c r="J7" t="str">
        <f>_xlfn.XLOOKUP(B7,'Nuts&amp;Bolts'!AD$3:AD$7,'Nuts&amp;Bolts'!AE$3:AE$7,"",0,1)</f>
        <v/>
      </c>
      <c r="K7" t="str">
        <f>_xlfn.XLOOKUP(B7,'Nuts&amp;Bolts'!AH$3:AH$7,'Nuts&amp;Bolts'!AI$3:AI$7,"",0,1)</f>
        <v/>
      </c>
      <c r="L7" t="str">
        <f>_xlfn.XLOOKUP(B7,'Nuts&amp;Bolts'!AL$3:AL$7,'Nuts&amp;Bolts'!AM$3:AM$7,"",0,1)</f>
        <v/>
      </c>
      <c r="M7" t="str">
        <f>_xlfn.XLOOKUP(B7,'Nuts&amp;Bolts'!B$21:B$32,'Nuts&amp;Bolts'!C$21:C$32,"",0,1)</f>
        <v/>
      </c>
      <c r="N7" t="str">
        <f>_xlfn.XLOOKUP(B7,'Nuts&amp;Bolts'!F$19:F$22,'Nuts&amp;Bolts'!G$19:G$22,"",0,1)</f>
        <v/>
      </c>
      <c r="O7" t="str">
        <f>_xlfn.XLOOKUP(B7,'Nuts&amp;Bolts'!J$19:J$26,'Nuts&amp;Bolts'!K$19:K$26,"",0,1)</f>
        <v/>
      </c>
      <c r="P7" t="str">
        <f>_xlfn.XLOOKUP(B7,'Nuts&amp;Bolts'!N$19:N$23,'Nuts&amp;Bolts'!O$19:O$23,"",0,1)</f>
        <v/>
      </c>
      <c r="Q7" t="str">
        <f>_xlfn.XLOOKUP(B7,'Nuts&amp;Bolts'!R$19:R$21,'Nuts&amp;Bolts'!S$19:S$21,"",0,1)</f>
        <v/>
      </c>
      <c r="R7" t="str">
        <f>_xlfn.XLOOKUP(B7,'Nuts&amp;Bolts'!V$19:V$22,'Nuts&amp;Bolts'!W$19:W$22,"",0,1)</f>
        <v/>
      </c>
      <c r="S7" t="str">
        <f>_xlfn.XLOOKUP(B7,'Nuts&amp;Bolts'!Z$19:Z$21,'Nuts&amp;Bolts'!AA$19:AA$21,"",0,1)</f>
        <v/>
      </c>
      <c r="T7" s="8">
        <f>_xlfn.XLOOKUP(B7,'Nuts&amp;Bolts'!AD$19:AD$24,'Nuts&amp;Bolts'!AE$19:AE$24,"",0,1)</f>
        <v>2</v>
      </c>
    </row>
    <row r="8" spans="2:22" x14ac:dyDescent="0.2">
      <c r="B8" s="2" t="s">
        <v>42</v>
      </c>
      <c r="C8" t="str">
        <f>_xlfn.XLOOKUP(B8,'Nuts&amp;Bolts'!B$3:B$15,'Nuts&amp;Bolts'!C$3:C$15,"",0,1)</f>
        <v/>
      </c>
      <c r="D8" t="str">
        <f>_xlfn.XLOOKUP(B8,'Nuts&amp;Bolts'!F$3:F$5,'Nuts&amp;Bolts'!G$3:G$5,"",0,1)</f>
        <v/>
      </c>
      <c r="E8" t="str">
        <f>_xlfn.XLOOKUP(B8,'Nuts&amp;Bolts'!J$3:J$8,'Nuts&amp;Bolts'!K$3:K$8,"",0,1)</f>
        <v/>
      </c>
      <c r="F8" t="str">
        <f>_xlfn.XLOOKUP(B8,'Nuts&amp;Bolts'!N$3:N$8,'Nuts&amp;Bolts'!O$3:O$8,"",0,1)</f>
        <v/>
      </c>
      <c r="G8" t="str">
        <f>_xlfn.XLOOKUP(B8,'Nuts&amp;Bolts'!R$3:R$8,'Nuts&amp;Bolts'!S$3:S$8,"",0,1)</f>
        <v/>
      </c>
      <c r="H8" t="str">
        <f>_xlfn.XLOOKUP(B8,'Nuts&amp;Bolts'!V$3:V$9,'Nuts&amp;Bolts'!W$3:W$9,"",0,1)</f>
        <v/>
      </c>
      <c r="I8" t="str">
        <f>_xlfn.XLOOKUP(B8,'Nuts&amp;Bolts'!Z$3:Z$7,'Nuts&amp;Bolts'!AA$3:AA$7,"",0,1)</f>
        <v/>
      </c>
      <c r="J8" t="str">
        <f>_xlfn.XLOOKUP(B8,'Nuts&amp;Bolts'!AD$3:AD$7,'Nuts&amp;Bolts'!AE$3:AE$7,"",0,1)</f>
        <v/>
      </c>
      <c r="K8" t="str">
        <f>_xlfn.XLOOKUP(B8,'Nuts&amp;Bolts'!AH$3:AH$7,'Nuts&amp;Bolts'!AI$3:AI$7,"",0,1)</f>
        <v/>
      </c>
      <c r="L8" t="str">
        <f>_xlfn.XLOOKUP(B8,'Nuts&amp;Bolts'!AL$3:AL$7,'Nuts&amp;Bolts'!AM$3:AM$7,"",0,1)</f>
        <v/>
      </c>
      <c r="M8">
        <f>_xlfn.XLOOKUP(B8,'Nuts&amp;Bolts'!B$21:B$32,'Nuts&amp;Bolts'!C$21:C$32,"",0,1)</f>
        <v>1</v>
      </c>
      <c r="N8" t="str">
        <f>_xlfn.XLOOKUP(B8,'Nuts&amp;Bolts'!F$19:F$22,'Nuts&amp;Bolts'!G$19:G$22,"",0,1)</f>
        <v/>
      </c>
      <c r="O8">
        <f>_xlfn.XLOOKUP(B8,'Nuts&amp;Bolts'!J$19:J$26,'Nuts&amp;Bolts'!K$19:K$26,"",0,1)</f>
        <v>2</v>
      </c>
      <c r="P8" t="str">
        <f>_xlfn.XLOOKUP(B8,'Nuts&amp;Bolts'!N$19:N$23,'Nuts&amp;Bolts'!O$19:O$23,"",0,1)</f>
        <v/>
      </c>
      <c r="Q8" t="str">
        <f>_xlfn.XLOOKUP(B8,'Nuts&amp;Bolts'!R$19:R$21,'Nuts&amp;Bolts'!S$19:S$21,"",0,1)</f>
        <v/>
      </c>
      <c r="R8" t="str">
        <f>_xlfn.XLOOKUP(B8,'Nuts&amp;Bolts'!V$19:V$22,'Nuts&amp;Bolts'!W$19:W$22,"",0,1)</f>
        <v/>
      </c>
      <c r="S8" t="str">
        <f>_xlfn.XLOOKUP(B8,'Nuts&amp;Bolts'!Z$19:Z$21,'Nuts&amp;Bolts'!AA$19:AA$21,"",0,1)</f>
        <v/>
      </c>
      <c r="T8" s="8" t="str">
        <f>_xlfn.XLOOKUP(B8,'Nuts&amp;Bolts'!AD$19:AD$24,'Nuts&amp;Bolts'!AE$19:AE$24,"",0,1)</f>
        <v/>
      </c>
    </row>
    <row r="9" spans="2:22" x14ac:dyDescent="0.2">
      <c r="B9" s="2" t="s">
        <v>24</v>
      </c>
      <c r="C9" t="str">
        <f>_xlfn.XLOOKUP(B9,'Nuts&amp;Bolts'!B$3:B$15,'Nuts&amp;Bolts'!C$3:C$15,"",0,1)</f>
        <v/>
      </c>
      <c r="D9" t="str">
        <f>_xlfn.XLOOKUP(B9,'Nuts&amp;Bolts'!F$3:F$5,'Nuts&amp;Bolts'!G$3:G$5,"",0,1)</f>
        <v/>
      </c>
      <c r="E9">
        <f>_xlfn.XLOOKUP(B9,'Nuts&amp;Bolts'!J$3:J$8,'Nuts&amp;Bolts'!K$3:K$8,"",0,1)</f>
        <v>6</v>
      </c>
      <c r="F9" t="str">
        <f>_xlfn.XLOOKUP(B9,'Nuts&amp;Bolts'!N$3:N$8,'Nuts&amp;Bolts'!O$3:O$8,"",0,1)</f>
        <v/>
      </c>
      <c r="G9">
        <f>_xlfn.XLOOKUP(B9,'Nuts&amp;Bolts'!R$3:R$8,'Nuts&amp;Bolts'!S$3:S$8,"",0,1)</f>
        <v>2</v>
      </c>
      <c r="H9">
        <f>_xlfn.XLOOKUP(B9,'Nuts&amp;Bolts'!V$3:V$9,'Nuts&amp;Bolts'!W$3:W$9,"",0,1)</f>
        <v>2</v>
      </c>
      <c r="I9" t="str">
        <f>_xlfn.XLOOKUP(B9,'Nuts&amp;Bolts'!Z$3:Z$7,'Nuts&amp;Bolts'!AA$3:AA$7,"",0,1)</f>
        <v/>
      </c>
      <c r="J9" t="str">
        <f>_xlfn.XLOOKUP(B9,'Nuts&amp;Bolts'!AD$3:AD$7,'Nuts&amp;Bolts'!AE$3:AE$7,"",0,1)</f>
        <v/>
      </c>
      <c r="K9" t="str">
        <f>_xlfn.XLOOKUP(B9,'Nuts&amp;Bolts'!AH$3:AH$7,'Nuts&amp;Bolts'!AI$3:AI$7,"",0,1)</f>
        <v/>
      </c>
      <c r="L9" t="str">
        <f>_xlfn.XLOOKUP(B9,'Nuts&amp;Bolts'!AL$3:AL$7,'Nuts&amp;Bolts'!AM$3:AM$7,"",0,1)</f>
        <v/>
      </c>
      <c r="M9" t="str">
        <f>_xlfn.XLOOKUP(B9,'Nuts&amp;Bolts'!B$21:B$32,'Nuts&amp;Bolts'!C$21:C$32,"",0,1)</f>
        <v/>
      </c>
      <c r="N9" t="str">
        <f>_xlfn.XLOOKUP(B9,'Nuts&amp;Bolts'!F$19:F$22,'Nuts&amp;Bolts'!G$19:G$22,"",0,1)</f>
        <v/>
      </c>
      <c r="O9" t="str">
        <f>_xlfn.XLOOKUP(B9,'Nuts&amp;Bolts'!J$19:J$26,'Nuts&amp;Bolts'!K$19:K$26,"",0,1)</f>
        <v/>
      </c>
      <c r="P9" t="str">
        <f>_xlfn.XLOOKUP(B9,'Nuts&amp;Bolts'!N$19:N$23,'Nuts&amp;Bolts'!O$19:O$23,"",0,1)</f>
        <v/>
      </c>
      <c r="Q9" t="str">
        <f>_xlfn.XLOOKUP(B9,'Nuts&amp;Bolts'!R$19:R$21,'Nuts&amp;Bolts'!S$19:S$21,"",0,1)</f>
        <v/>
      </c>
      <c r="R9" t="str">
        <f>_xlfn.XLOOKUP(B9,'Nuts&amp;Bolts'!V$19:V$22,'Nuts&amp;Bolts'!W$19:W$22,"",0,1)</f>
        <v/>
      </c>
      <c r="S9" t="str">
        <f>_xlfn.XLOOKUP(B9,'Nuts&amp;Bolts'!Z$19:Z$21,'Nuts&amp;Bolts'!AA$19:AA$21,"",0,1)</f>
        <v/>
      </c>
      <c r="T9" s="8" t="str">
        <f>_xlfn.XLOOKUP(B9,'Nuts&amp;Bolts'!AD$19:AD$24,'Nuts&amp;Bolts'!AE$19:AE$24,"",0,1)</f>
        <v/>
      </c>
    </row>
    <row r="10" spans="2:22" x14ac:dyDescent="0.2">
      <c r="B10" s="2" t="s">
        <v>18</v>
      </c>
      <c r="C10">
        <f>_xlfn.XLOOKUP(B10,'Nuts&amp;Bolts'!B$3:B$15,'Nuts&amp;Bolts'!C$3:C$15,"",0,1)</f>
        <v>6</v>
      </c>
      <c r="D10" t="str">
        <f>_xlfn.XLOOKUP(B10,'Nuts&amp;Bolts'!F$3:F$5,'Nuts&amp;Bolts'!G$3:G$5,"",0,1)</f>
        <v/>
      </c>
      <c r="E10" t="str">
        <f>_xlfn.XLOOKUP(B10,'Nuts&amp;Bolts'!J$3:J$8,'Nuts&amp;Bolts'!K$3:K$8,"",0,1)</f>
        <v/>
      </c>
      <c r="F10" t="str">
        <f>_xlfn.XLOOKUP(B10,'Nuts&amp;Bolts'!N$3:N$8,'Nuts&amp;Bolts'!O$3:O$8,"",0,1)</f>
        <v/>
      </c>
      <c r="G10">
        <f>_xlfn.XLOOKUP(B10,'Nuts&amp;Bolts'!R$3:R$8,'Nuts&amp;Bolts'!S$3:S$8,"",0,1)</f>
        <v>1</v>
      </c>
      <c r="H10">
        <f>_xlfn.XLOOKUP(B10,'Nuts&amp;Bolts'!V$3:V$9,'Nuts&amp;Bolts'!W$3:W$9,"",0,1)</f>
        <v>1</v>
      </c>
      <c r="I10" t="str">
        <f>_xlfn.XLOOKUP(B10,'Nuts&amp;Bolts'!Z$3:Z$7,'Nuts&amp;Bolts'!AA$3:AA$7,"",0,1)</f>
        <v/>
      </c>
      <c r="J10" t="str">
        <f>_xlfn.XLOOKUP(B10,'Nuts&amp;Bolts'!AD$3:AD$7,'Nuts&amp;Bolts'!AE$3:AE$7,"",0,1)</f>
        <v/>
      </c>
      <c r="K10" t="str">
        <f>_xlfn.XLOOKUP(B10,'Nuts&amp;Bolts'!AH$3:AH$7,'Nuts&amp;Bolts'!AI$3:AI$7,"",0,1)</f>
        <v/>
      </c>
      <c r="L10" t="str">
        <f>_xlfn.XLOOKUP(B10,'Nuts&amp;Bolts'!AL$3:AL$7,'Nuts&amp;Bolts'!AM$3:AM$7,"",0,1)</f>
        <v/>
      </c>
      <c r="M10" t="str">
        <f>_xlfn.XLOOKUP(B10,'Nuts&amp;Bolts'!B$21:B$32,'Nuts&amp;Bolts'!C$21:C$32,"",0,1)</f>
        <v/>
      </c>
      <c r="N10" t="str">
        <f>_xlfn.XLOOKUP(B10,'Nuts&amp;Bolts'!F$19:F$22,'Nuts&amp;Bolts'!G$19:G$22,"",0,1)</f>
        <v/>
      </c>
      <c r="O10" t="str">
        <f>_xlfn.XLOOKUP(B10,'Nuts&amp;Bolts'!J$19:J$26,'Nuts&amp;Bolts'!K$19:K$26,"",0,1)</f>
        <v/>
      </c>
      <c r="P10" t="str">
        <f>_xlfn.XLOOKUP(B10,'Nuts&amp;Bolts'!N$19:N$23,'Nuts&amp;Bolts'!O$19:O$23,"",0,1)</f>
        <v/>
      </c>
      <c r="Q10" t="str">
        <f>_xlfn.XLOOKUP(B10,'Nuts&amp;Bolts'!R$19:R$21,'Nuts&amp;Bolts'!S$19:S$21,"",0,1)</f>
        <v/>
      </c>
      <c r="R10" t="str">
        <f>_xlfn.XLOOKUP(B10,'Nuts&amp;Bolts'!V$19:V$22,'Nuts&amp;Bolts'!W$19:W$22,"",0,1)</f>
        <v/>
      </c>
      <c r="S10" t="str">
        <f>_xlfn.XLOOKUP(B10,'Nuts&amp;Bolts'!Z$19:Z$21,'Nuts&amp;Bolts'!AA$19:AA$21,"",0,1)</f>
        <v/>
      </c>
      <c r="T10" s="8" t="str">
        <f>_xlfn.XLOOKUP(B10,'Nuts&amp;Bolts'!AD$19:AD$24,'Nuts&amp;Bolts'!AE$19:AE$24,"",0,1)</f>
        <v/>
      </c>
    </row>
    <row r="11" spans="2:22" x14ac:dyDescent="0.2">
      <c r="B11" s="15" t="s">
        <v>62</v>
      </c>
      <c r="C11" s="16" t="str">
        <f>_xlfn.XLOOKUP(B11,'Nuts&amp;Bolts'!B$3:B$15,'Nuts&amp;Bolts'!C$3:C$15,"",0,1)</f>
        <v/>
      </c>
      <c r="D11" s="16" t="str">
        <f>_xlfn.XLOOKUP(B11,'Nuts&amp;Bolts'!F$3:F$5,'Nuts&amp;Bolts'!G$3:G$5,"",0,1)</f>
        <v/>
      </c>
      <c r="E11" s="16" t="str">
        <f>_xlfn.XLOOKUP(B11,'Nuts&amp;Bolts'!J$3:J$8,'Nuts&amp;Bolts'!K$3:K$8,"",0,1)</f>
        <v/>
      </c>
      <c r="F11" s="16" t="str">
        <f>_xlfn.XLOOKUP(B11,'Nuts&amp;Bolts'!N$3:N$8,'Nuts&amp;Bolts'!O$3:O$8,"",0,1)</f>
        <v/>
      </c>
      <c r="G11" s="16" t="str">
        <f>_xlfn.XLOOKUP(B11,'Nuts&amp;Bolts'!R$3:R$8,'Nuts&amp;Bolts'!S$3:S$8,"",0,1)</f>
        <v/>
      </c>
      <c r="H11" s="16" t="str">
        <f>_xlfn.XLOOKUP(B11,'Nuts&amp;Bolts'!V$3:V$9,'Nuts&amp;Bolts'!W$3:W$9,"",0,1)</f>
        <v/>
      </c>
      <c r="I11" s="16" t="str">
        <f>_xlfn.XLOOKUP(B11,'Nuts&amp;Bolts'!Z$3:Z$7,'Nuts&amp;Bolts'!AA$3:AA$7,"",0,1)</f>
        <v/>
      </c>
      <c r="J11" s="16" t="str">
        <f>_xlfn.XLOOKUP(B11,'Nuts&amp;Bolts'!AD$3:AD$7,'Nuts&amp;Bolts'!AE$3:AE$7,"",0,1)</f>
        <v/>
      </c>
      <c r="K11" s="16" t="str">
        <f>_xlfn.XLOOKUP(B11,'Nuts&amp;Bolts'!AH$3:AH$7,'Nuts&amp;Bolts'!AI$3:AI$7,"",0,1)</f>
        <v/>
      </c>
      <c r="L11" s="16" t="str">
        <f>_xlfn.XLOOKUP(B11,'Nuts&amp;Bolts'!AL$3:AL$7,'Nuts&amp;Bolts'!AM$3:AM$7,"",0,1)</f>
        <v/>
      </c>
      <c r="M11" s="16" t="str">
        <f>_xlfn.XLOOKUP(B11,'Nuts&amp;Bolts'!B$21:B$32,'Nuts&amp;Bolts'!C$21:C$32,"",0,1)</f>
        <v/>
      </c>
      <c r="N11" s="16" t="str">
        <f>_xlfn.XLOOKUP(B11,'Nuts&amp;Bolts'!F$19:F$22,'Nuts&amp;Bolts'!G$19:G$22,"",0,1)</f>
        <v/>
      </c>
      <c r="O11" s="16" t="str">
        <f>_xlfn.XLOOKUP(B11,'Nuts&amp;Bolts'!J$19:J$26,'Nuts&amp;Bolts'!K$19:K$26,"",0,1)</f>
        <v/>
      </c>
      <c r="P11" s="16" t="str">
        <f>_xlfn.XLOOKUP(B11,'Nuts&amp;Bolts'!N$19:N$23,'Nuts&amp;Bolts'!O$19:O$23,"",0,1)</f>
        <v/>
      </c>
      <c r="Q11" s="16" t="str">
        <f>_xlfn.XLOOKUP(B11,'Nuts&amp;Bolts'!R$19:R$21,'Nuts&amp;Bolts'!S$19:S$21,"",0,1)</f>
        <v/>
      </c>
      <c r="R11" s="16" t="str">
        <f>_xlfn.XLOOKUP(B11,'Nuts&amp;Bolts'!V$19:V$22,'Nuts&amp;Bolts'!W$19:W$22,"",0,1)</f>
        <v/>
      </c>
      <c r="S11" s="16" t="str">
        <f>_xlfn.XLOOKUP(B11,'Nuts&amp;Bolts'!Z$19:Z$21,'Nuts&amp;Bolts'!AA$19:AA$21,"",0,1)</f>
        <v/>
      </c>
      <c r="T11" s="17" t="str">
        <f>_xlfn.XLOOKUP(B11,'Nuts&amp;Bolts'!AD$19:AD$24,'Nuts&amp;Bolts'!AE$19:AE$24,"",0,1)</f>
        <v/>
      </c>
    </row>
    <row r="12" spans="2:22" x14ac:dyDescent="0.2">
      <c r="B12" s="2" t="s">
        <v>78</v>
      </c>
      <c r="C12" t="str">
        <f>_xlfn.XLOOKUP(B12,'Nuts&amp;Bolts'!B$3:B$15,'Nuts&amp;Bolts'!C$3:C$15,"",0,1)</f>
        <v/>
      </c>
      <c r="D12" t="str">
        <f>_xlfn.XLOOKUP(B12,'Nuts&amp;Bolts'!F$3:F$5,'Nuts&amp;Bolts'!G$3:G$5,"",0,1)</f>
        <v/>
      </c>
      <c r="E12" t="str">
        <f>_xlfn.XLOOKUP(B12,'Nuts&amp;Bolts'!J$3:J$8,'Nuts&amp;Bolts'!K$3:K$8,"",0,1)</f>
        <v/>
      </c>
      <c r="F12" t="str">
        <f>_xlfn.XLOOKUP(B12,'Nuts&amp;Bolts'!N$3:N$8,'Nuts&amp;Bolts'!O$3:O$8,"",0,1)</f>
        <v/>
      </c>
      <c r="G12" t="str">
        <f>_xlfn.XLOOKUP(B12,'Nuts&amp;Bolts'!R$3:R$8,'Nuts&amp;Bolts'!S$3:S$8,"",0,1)</f>
        <v/>
      </c>
      <c r="H12" t="str">
        <f>_xlfn.XLOOKUP(B12,'Nuts&amp;Bolts'!V$3:V$9,'Nuts&amp;Bolts'!W$3:W$9,"",0,1)</f>
        <v/>
      </c>
      <c r="I12" t="str">
        <f>_xlfn.XLOOKUP(B12,'Nuts&amp;Bolts'!Z$3:Z$7,'Nuts&amp;Bolts'!AA$3:AA$7,"",0,1)</f>
        <v/>
      </c>
      <c r="J12" t="str">
        <f>_xlfn.XLOOKUP(B12,'Nuts&amp;Bolts'!AD$3:AD$7,'Nuts&amp;Bolts'!AE$3:AE$7,"",0,1)</f>
        <v/>
      </c>
      <c r="K12">
        <f>_xlfn.XLOOKUP(B12,'Nuts&amp;Bolts'!AH$3:AH$7,'Nuts&amp;Bolts'!AI$3:AI$7,"",0,1)</f>
        <v>3</v>
      </c>
      <c r="L12" t="str">
        <f>_xlfn.XLOOKUP(B12,'Nuts&amp;Bolts'!AL$3:AL$7,'Nuts&amp;Bolts'!AM$3:AM$7,"",0,1)</f>
        <v/>
      </c>
      <c r="M12" t="str">
        <f>_xlfn.XLOOKUP(B12,'Nuts&amp;Bolts'!B$21:B$32,'Nuts&amp;Bolts'!C$21:C$32,"",0,1)</f>
        <v/>
      </c>
      <c r="N12" t="str">
        <f>_xlfn.XLOOKUP(B12,'Nuts&amp;Bolts'!F$19:F$22,'Nuts&amp;Bolts'!G$19:G$22,"",0,1)</f>
        <v/>
      </c>
      <c r="O12" t="str">
        <f>_xlfn.XLOOKUP(B12,'Nuts&amp;Bolts'!J$19:J$26,'Nuts&amp;Bolts'!K$19:K$26,"",0,1)</f>
        <v/>
      </c>
      <c r="P12" t="str">
        <f>_xlfn.XLOOKUP(B12,'Nuts&amp;Bolts'!N$19:N$23,'Nuts&amp;Bolts'!O$19:O$23,"",0,1)</f>
        <v/>
      </c>
      <c r="Q12" t="str">
        <f>_xlfn.XLOOKUP(B12,'Nuts&amp;Bolts'!R$19:R$21,'Nuts&amp;Bolts'!S$19:S$21,"",0,1)</f>
        <v/>
      </c>
      <c r="R12" t="str">
        <f>_xlfn.XLOOKUP(B12,'Nuts&amp;Bolts'!V$19:V$22,'Nuts&amp;Bolts'!W$19:W$22,"",0,1)</f>
        <v/>
      </c>
      <c r="S12" t="str">
        <f>_xlfn.XLOOKUP(B12,'Nuts&amp;Bolts'!Z$19:Z$21,'Nuts&amp;Bolts'!AA$19:AA$21,"",0,1)</f>
        <v/>
      </c>
      <c r="T12" s="8" t="str">
        <f>_xlfn.XLOOKUP(B12,'Nuts&amp;Bolts'!AD$19:AD$24,'Nuts&amp;Bolts'!AE$19:AE$24,"",0,1)</f>
        <v/>
      </c>
    </row>
    <row r="13" spans="2:22" x14ac:dyDescent="0.2">
      <c r="B13" s="2" t="s">
        <v>28</v>
      </c>
      <c r="C13">
        <f>_xlfn.XLOOKUP(B13,'Nuts&amp;Bolts'!B$3:B$15,'Nuts&amp;Bolts'!C$3:C$15,"",0,1)</f>
        <v>4</v>
      </c>
      <c r="D13" t="str">
        <f>_xlfn.XLOOKUP(B13,'Nuts&amp;Bolts'!F$3:F$5,'Nuts&amp;Bolts'!G$3:G$5,"",0,1)</f>
        <v/>
      </c>
      <c r="E13" t="str">
        <f>_xlfn.XLOOKUP(B13,'Nuts&amp;Bolts'!J$3:J$8,'Nuts&amp;Bolts'!K$3:K$8,"",0,1)</f>
        <v/>
      </c>
      <c r="F13">
        <f>_xlfn.XLOOKUP(B13,'Nuts&amp;Bolts'!N$3:N$8,'Nuts&amp;Bolts'!O$3:O$8,"",0,1)</f>
        <v>2</v>
      </c>
      <c r="G13" t="str">
        <f>_xlfn.XLOOKUP(B13,'Nuts&amp;Bolts'!R$3:R$8,'Nuts&amp;Bolts'!S$3:S$8,"",0,1)</f>
        <v/>
      </c>
      <c r="H13" t="str">
        <f>_xlfn.XLOOKUP(B13,'Nuts&amp;Bolts'!V$3:V$9,'Nuts&amp;Bolts'!W$3:W$9,"",0,1)</f>
        <v/>
      </c>
      <c r="I13" t="str">
        <f>_xlfn.XLOOKUP(B13,'Nuts&amp;Bolts'!Z$3:Z$7,'Nuts&amp;Bolts'!AA$3:AA$7,"",0,1)</f>
        <v/>
      </c>
      <c r="J13" t="str">
        <f>_xlfn.XLOOKUP(B13,'Nuts&amp;Bolts'!AD$3:AD$7,'Nuts&amp;Bolts'!AE$3:AE$7,"",0,1)</f>
        <v/>
      </c>
      <c r="K13" t="str">
        <f>_xlfn.XLOOKUP(B13,'Nuts&amp;Bolts'!AH$3:AH$7,'Nuts&amp;Bolts'!AI$3:AI$7,"",0,1)</f>
        <v/>
      </c>
      <c r="L13" t="str">
        <f>_xlfn.XLOOKUP(B13,'Nuts&amp;Bolts'!AL$3:AL$7,'Nuts&amp;Bolts'!AM$3:AM$7,"",0,1)</f>
        <v/>
      </c>
      <c r="M13">
        <f>_xlfn.XLOOKUP(B13,'Nuts&amp;Bolts'!B$21:B$32,'Nuts&amp;Bolts'!C$21:C$32,"",0,1)</f>
        <v>4</v>
      </c>
      <c r="N13" t="str">
        <f>_xlfn.XLOOKUP(B13,'Nuts&amp;Bolts'!F$19:F$22,'Nuts&amp;Bolts'!G$19:G$22,"",0,1)</f>
        <v/>
      </c>
      <c r="O13" t="str">
        <f>_xlfn.XLOOKUP(B13,'Nuts&amp;Bolts'!J$19:J$26,'Nuts&amp;Bolts'!K$19:K$26,"",0,1)</f>
        <v/>
      </c>
      <c r="P13" t="str">
        <f>_xlfn.XLOOKUP(B13,'Nuts&amp;Bolts'!N$19:N$23,'Nuts&amp;Bolts'!O$19:O$23,"",0,1)</f>
        <v/>
      </c>
      <c r="Q13" t="str">
        <f>_xlfn.XLOOKUP(B13,'Nuts&amp;Bolts'!R$19:R$21,'Nuts&amp;Bolts'!S$19:S$21,"",0,1)</f>
        <v/>
      </c>
      <c r="R13" t="str">
        <f>_xlfn.XLOOKUP(B13,'Nuts&amp;Bolts'!V$19:V$22,'Nuts&amp;Bolts'!W$19:W$22,"",0,1)</f>
        <v/>
      </c>
      <c r="S13" t="str">
        <f>_xlfn.XLOOKUP(B13,'Nuts&amp;Bolts'!Z$19:Z$21,'Nuts&amp;Bolts'!AA$19:AA$21,"",0,1)</f>
        <v/>
      </c>
      <c r="T13" s="8">
        <f>_xlfn.XLOOKUP(B13,'Nuts&amp;Bolts'!AD$19:AD$24,'Nuts&amp;Bolts'!AE$19:AE$24,"",0,1)</f>
        <v>4</v>
      </c>
      <c r="V13" t="str">
        <f>_xlfn.XLOOKUP(B13,'Nuts&amp;Bolts'!AG$19:AG$24,'Nuts&amp;Bolts'!AH$19:AH$24,"",0,1)</f>
        <v/>
      </c>
    </row>
    <row r="14" spans="2:22" x14ac:dyDescent="0.2">
      <c r="B14" s="15" t="s">
        <v>62</v>
      </c>
      <c r="C14" s="16" t="str">
        <f>_xlfn.XLOOKUP(B14,'Nuts&amp;Bolts'!B$3:B$15,'Nuts&amp;Bolts'!C$3:C$15,"",0,1)</f>
        <v/>
      </c>
      <c r="D14" s="16" t="str">
        <f>_xlfn.XLOOKUP(B14,'Nuts&amp;Bolts'!F$3:F$5,'Nuts&amp;Bolts'!G$3:G$5,"",0,1)</f>
        <v/>
      </c>
      <c r="E14" s="16" t="str">
        <f>_xlfn.XLOOKUP(B14,'Nuts&amp;Bolts'!J$3:J$8,'Nuts&amp;Bolts'!K$3:K$8,"",0,1)</f>
        <v/>
      </c>
      <c r="F14" s="16" t="str">
        <f>_xlfn.XLOOKUP(B14,'Nuts&amp;Bolts'!N$3:N$8,'Nuts&amp;Bolts'!O$3:O$8,"",0,1)</f>
        <v/>
      </c>
      <c r="G14" s="16" t="str">
        <f>_xlfn.XLOOKUP(B14,'Nuts&amp;Bolts'!R$3:R$8,'Nuts&amp;Bolts'!S$3:S$8,"",0,1)</f>
        <v/>
      </c>
      <c r="H14" s="16" t="str">
        <f>_xlfn.XLOOKUP(B14,'Nuts&amp;Bolts'!V$3:V$9,'Nuts&amp;Bolts'!W$3:W$9,"",0,1)</f>
        <v/>
      </c>
      <c r="I14" s="16" t="str">
        <f>_xlfn.XLOOKUP(B14,'Nuts&amp;Bolts'!Z$3:Z$7,'Nuts&amp;Bolts'!AA$3:AA$7,"",0,1)</f>
        <v/>
      </c>
      <c r="J14" s="16" t="str">
        <f>_xlfn.XLOOKUP(B14,'Nuts&amp;Bolts'!AD$3:AD$7,'Nuts&amp;Bolts'!AE$3:AE$7,"",0,1)</f>
        <v/>
      </c>
      <c r="K14" s="16" t="str">
        <f>_xlfn.XLOOKUP(B14,'Nuts&amp;Bolts'!AH$3:AH$7,'Nuts&amp;Bolts'!AI$3:AI$7,"",0,1)</f>
        <v/>
      </c>
      <c r="L14" s="16" t="str">
        <f>_xlfn.XLOOKUP(B14,'Nuts&amp;Bolts'!AL$3:AL$7,'Nuts&amp;Bolts'!AM$3:AM$7,"",0,1)</f>
        <v/>
      </c>
      <c r="M14" s="16" t="str">
        <f>_xlfn.XLOOKUP(B14,'Nuts&amp;Bolts'!B$21:B$32,'Nuts&amp;Bolts'!C$21:C$32,"",0,1)</f>
        <v/>
      </c>
      <c r="N14" s="16" t="str">
        <f>_xlfn.XLOOKUP(B14,'Nuts&amp;Bolts'!F$19:F$22,'Nuts&amp;Bolts'!G$19:G$22,"",0,1)</f>
        <v/>
      </c>
      <c r="O14" s="16" t="str">
        <f>_xlfn.XLOOKUP(B14,'Nuts&amp;Bolts'!J$19:J$26,'Nuts&amp;Bolts'!K$19:K$26,"",0,1)</f>
        <v/>
      </c>
      <c r="P14" s="16" t="str">
        <f>_xlfn.XLOOKUP(B14,'Nuts&amp;Bolts'!N$19:N$23,'Nuts&amp;Bolts'!O$19:O$23,"",0,1)</f>
        <v/>
      </c>
      <c r="Q14" s="16" t="str">
        <f>_xlfn.XLOOKUP(B14,'Nuts&amp;Bolts'!R$19:R$21,'Nuts&amp;Bolts'!S$19:S$21,"",0,1)</f>
        <v/>
      </c>
      <c r="R14" s="16" t="str">
        <f>_xlfn.XLOOKUP(B14,'Nuts&amp;Bolts'!V$19:V$22,'Nuts&amp;Bolts'!W$19:W$22,"",0,1)</f>
        <v/>
      </c>
      <c r="S14" s="16" t="str">
        <f>_xlfn.XLOOKUP(B14,'Nuts&amp;Bolts'!Z$19:Z$21,'Nuts&amp;Bolts'!AA$19:AA$21,"",0,1)</f>
        <v/>
      </c>
      <c r="T14" s="17" t="str">
        <f>_xlfn.XLOOKUP(B14,'Nuts&amp;Bolts'!AD$19:AD$24,'Nuts&amp;Bolts'!AE$19:AE$24,"",0,1)</f>
        <v/>
      </c>
    </row>
    <row r="15" spans="2:22" x14ac:dyDescent="0.2">
      <c r="B15" s="2" t="s">
        <v>30</v>
      </c>
      <c r="C15" t="str">
        <f>_xlfn.XLOOKUP(B15,'Nuts&amp;Bolts'!B$3:B$15,'Nuts&amp;Bolts'!C$3:C$15,"",0,1)</f>
        <v/>
      </c>
      <c r="D15" t="str">
        <f>_xlfn.XLOOKUP(B15,'Nuts&amp;Bolts'!F$3:F$5,'Nuts&amp;Bolts'!G$3:G$5,"",0,1)</f>
        <v/>
      </c>
      <c r="E15" t="str">
        <f>_xlfn.XLOOKUP(B15,'Nuts&amp;Bolts'!J$3:J$8,'Nuts&amp;Bolts'!K$3:K$8,"",0,1)</f>
        <v/>
      </c>
      <c r="F15" t="str">
        <f>_xlfn.XLOOKUP(B15,'Nuts&amp;Bolts'!N$3:N$8,'Nuts&amp;Bolts'!O$3:O$8,"",0,1)</f>
        <v/>
      </c>
      <c r="G15" t="str">
        <f>_xlfn.XLOOKUP(B15,'Nuts&amp;Bolts'!R$3:R$8,'Nuts&amp;Bolts'!S$3:S$8,"",0,1)</f>
        <v/>
      </c>
      <c r="H15" t="str">
        <f>_xlfn.XLOOKUP(B15,'Nuts&amp;Bolts'!V$3:V$9,'Nuts&amp;Bolts'!W$3:W$9,"",0,1)</f>
        <v/>
      </c>
      <c r="I15" t="str">
        <f>_xlfn.XLOOKUP(B15,'Nuts&amp;Bolts'!Z$3:Z$7,'Nuts&amp;Bolts'!AA$3:AA$7,"",0,1)</f>
        <v/>
      </c>
      <c r="J15">
        <f>_xlfn.XLOOKUP(B15,'Nuts&amp;Bolts'!AD$3:AD$7,'Nuts&amp;Bolts'!AE$3:AE$7,"",0,1)</f>
        <v>4</v>
      </c>
      <c r="K15" t="str">
        <f>_xlfn.XLOOKUP(B15,'Nuts&amp;Bolts'!AH$3:AH$7,'Nuts&amp;Bolts'!AI$3:AI$7,"",0,1)</f>
        <v/>
      </c>
      <c r="L15" t="str">
        <f>_xlfn.XLOOKUP(B15,'Nuts&amp;Bolts'!AL$3:AL$7,'Nuts&amp;Bolts'!AM$3:AM$7,"",0,1)</f>
        <v/>
      </c>
      <c r="M15" t="str">
        <f>_xlfn.XLOOKUP(B15,'Nuts&amp;Bolts'!B$21:B$32,'Nuts&amp;Bolts'!C$21:C$32,"",0,1)</f>
        <v/>
      </c>
      <c r="N15" t="str">
        <f>_xlfn.XLOOKUP(B15,'Nuts&amp;Bolts'!F$19:F$22,'Nuts&amp;Bolts'!G$19:G$22,"",0,1)</f>
        <v/>
      </c>
      <c r="O15" t="str">
        <f>_xlfn.XLOOKUP(B15,'Nuts&amp;Bolts'!J$19:J$26,'Nuts&amp;Bolts'!K$19:K$26,"",0,1)</f>
        <v/>
      </c>
      <c r="P15" t="str">
        <f>_xlfn.XLOOKUP(B15,'Nuts&amp;Bolts'!N$19:N$23,'Nuts&amp;Bolts'!O$19:O$23,"",0,1)</f>
        <v/>
      </c>
      <c r="Q15">
        <f>_xlfn.XLOOKUP(B15,'Nuts&amp;Bolts'!R$19:R$21,'Nuts&amp;Bolts'!S$19:S$21,"",0,1)</f>
        <v>2</v>
      </c>
      <c r="R15" t="str">
        <f>_xlfn.XLOOKUP(B15,'Nuts&amp;Bolts'!V$19:V$22,'Nuts&amp;Bolts'!W$19:W$22,"",0,1)</f>
        <v/>
      </c>
      <c r="S15">
        <f>_xlfn.XLOOKUP(B15,'Nuts&amp;Bolts'!Z$19:Z$21,'Nuts&amp;Bolts'!AA$19:AA$21,"",0,1)</f>
        <v>2</v>
      </c>
      <c r="T15" s="8" t="str">
        <f>_xlfn.XLOOKUP(B15,'Nuts&amp;Bolts'!AD$19:AD$24,'Nuts&amp;Bolts'!AE$19:AE$24,"",0,1)</f>
        <v/>
      </c>
    </row>
    <row r="16" spans="2:22" x14ac:dyDescent="0.2">
      <c r="B16" s="2" t="s">
        <v>43</v>
      </c>
      <c r="C16" t="str">
        <f>_xlfn.XLOOKUP(B16,'Nuts&amp;Bolts'!B$3:B$15,'Nuts&amp;Bolts'!C$3:C$15,"",0,1)</f>
        <v/>
      </c>
      <c r="D16" t="str">
        <f>_xlfn.XLOOKUP(B16,'Nuts&amp;Bolts'!F$3:F$5,'Nuts&amp;Bolts'!G$3:G$5,"",0,1)</f>
        <v/>
      </c>
      <c r="E16" t="str">
        <f>_xlfn.XLOOKUP(B16,'Nuts&amp;Bolts'!J$3:J$8,'Nuts&amp;Bolts'!K$3:K$8,"",0,1)</f>
        <v/>
      </c>
      <c r="F16">
        <f>_xlfn.XLOOKUP(B16,'Nuts&amp;Bolts'!N$3:N$8,'Nuts&amp;Bolts'!O$3:O$8,"",0,1)</f>
        <v>2</v>
      </c>
      <c r="G16" t="str">
        <f>_xlfn.XLOOKUP(B16,'Nuts&amp;Bolts'!R$3:R$8,'Nuts&amp;Bolts'!S$3:S$8,"",0,1)</f>
        <v/>
      </c>
      <c r="H16" t="str">
        <f>_xlfn.XLOOKUP(B16,'Nuts&amp;Bolts'!V$3:V$9,'Nuts&amp;Bolts'!W$3:W$9,"",0,1)</f>
        <v/>
      </c>
      <c r="I16" t="str">
        <f>_xlfn.XLOOKUP(B16,'Nuts&amp;Bolts'!Z$3:Z$7,'Nuts&amp;Bolts'!AA$3:AA$7,"",0,1)</f>
        <v/>
      </c>
      <c r="J16" t="str">
        <f>_xlfn.XLOOKUP(B16,'Nuts&amp;Bolts'!AD$3:AD$7,'Nuts&amp;Bolts'!AE$3:AE$7,"",0,1)</f>
        <v/>
      </c>
      <c r="K16" t="str">
        <f>_xlfn.XLOOKUP(B16,'Nuts&amp;Bolts'!AH$3:AH$7,'Nuts&amp;Bolts'!AI$3:AI$7,"",0,1)</f>
        <v/>
      </c>
      <c r="L16" t="str">
        <f>_xlfn.XLOOKUP(B16,'Nuts&amp;Bolts'!AL$3:AL$7,'Nuts&amp;Bolts'!AM$3:AM$7,"",0,1)</f>
        <v/>
      </c>
      <c r="M16">
        <f>_xlfn.XLOOKUP(B16,'Nuts&amp;Bolts'!B$21:B$32,'Nuts&amp;Bolts'!C$21:C$32,"",0,1)</f>
        <v>4</v>
      </c>
      <c r="N16">
        <f>_xlfn.XLOOKUP(B16,'Nuts&amp;Bolts'!F$19:F$22,'Nuts&amp;Bolts'!G$19:G$22,"",0,1)</f>
        <v>4</v>
      </c>
      <c r="O16" t="str">
        <f>_xlfn.XLOOKUP(B16,'Nuts&amp;Bolts'!J$19:J$26,'Nuts&amp;Bolts'!K$19:K$26,"",0,1)</f>
        <v/>
      </c>
      <c r="P16" t="str">
        <f>_xlfn.XLOOKUP(B16,'Nuts&amp;Bolts'!N$19:N$23,'Nuts&amp;Bolts'!O$19:O$23,"",0,1)</f>
        <v/>
      </c>
      <c r="Q16" t="str">
        <f>_xlfn.XLOOKUP(B16,'Nuts&amp;Bolts'!R$19:R$21,'Nuts&amp;Bolts'!S$19:S$21,"",0,1)</f>
        <v/>
      </c>
      <c r="R16" t="str">
        <f>_xlfn.XLOOKUP(B16,'Nuts&amp;Bolts'!V$19:V$22,'Nuts&amp;Bolts'!W$19:W$22,"",0,1)</f>
        <v/>
      </c>
      <c r="S16" t="str">
        <f>_xlfn.XLOOKUP(B16,'Nuts&amp;Bolts'!Z$19:Z$21,'Nuts&amp;Bolts'!AA$19:AA$21,"",0,1)</f>
        <v/>
      </c>
      <c r="T16" s="8" t="str">
        <f>_xlfn.XLOOKUP(B16,'Nuts&amp;Bolts'!AD$19:AD$24,'Nuts&amp;Bolts'!AE$19:AE$24,"",0,1)</f>
        <v/>
      </c>
    </row>
    <row r="17" spans="2:20" x14ac:dyDescent="0.2">
      <c r="B17" s="2" t="s">
        <v>40</v>
      </c>
      <c r="C17" t="str">
        <f>_xlfn.XLOOKUP(B17,'Nuts&amp;Bolts'!B$3:B$15,'Nuts&amp;Bolts'!C$3:C$15,"",0,1)</f>
        <v/>
      </c>
      <c r="D17" t="str">
        <f>_xlfn.XLOOKUP(B17,'Nuts&amp;Bolts'!F$3:F$5,'Nuts&amp;Bolts'!G$3:G$5,"",0,1)</f>
        <v/>
      </c>
      <c r="E17" t="str">
        <f>_xlfn.XLOOKUP(B17,'Nuts&amp;Bolts'!J$3:J$8,'Nuts&amp;Bolts'!K$3:K$8,"",0,1)</f>
        <v/>
      </c>
      <c r="F17" t="str">
        <f>_xlfn.XLOOKUP(B17,'Nuts&amp;Bolts'!N$3:N$8,'Nuts&amp;Bolts'!O$3:O$8,"",0,1)</f>
        <v/>
      </c>
      <c r="G17" t="str">
        <f>_xlfn.XLOOKUP(B17,'Nuts&amp;Bolts'!R$3:R$8,'Nuts&amp;Bolts'!S$3:S$8,"",0,1)</f>
        <v/>
      </c>
      <c r="H17" t="str">
        <f>_xlfn.XLOOKUP(B17,'Nuts&amp;Bolts'!V$3:V$9,'Nuts&amp;Bolts'!W$3:W$9,"",0,1)</f>
        <v/>
      </c>
      <c r="I17" t="str">
        <f>_xlfn.XLOOKUP(B17,'Nuts&amp;Bolts'!Z$3:Z$7,'Nuts&amp;Bolts'!AA$3:AA$7,"",0,1)</f>
        <v/>
      </c>
      <c r="J17">
        <f>_xlfn.XLOOKUP(B17,'Nuts&amp;Bolts'!AD$3:AD$7,'Nuts&amp;Bolts'!AE$3:AE$7,"",0,1)</f>
        <v>4</v>
      </c>
      <c r="K17" t="str">
        <f>_xlfn.XLOOKUP(B17,'Nuts&amp;Bolts'!AH$3:AH$7,'Nuts&amp;Bolts'!AI$3:AI$7,"",0,1)</f>
        <v/>
      </c>
      <c r="L17" t="str">
        <f>_xlfn.XLOOKUP(B17,'Nuts&amp;Bolts'!AL$3:AL$7,'Nuts&amp;Bolts'!AM$3:AM$7,"",0,1)</f>
        <v/>
      </c>
      <c r="M17" t="str">
        <f>_xlfn.XLOOKUP(B17,'Nuts&amp;Bolts'!B$21:B$32,'Nuts&amp;Bolts'!C$21:C$32,"",0,1)</f>
        <v/>
      </c>
      <c r="N17" t="str">
        <f>_xlfn.XLOOKUP(B17,'Nuts&amp;Bolts'!F$19:F$22,'Nuts&amp;Bolts'!G$19:G$22,"",0,1)</f>
        <v/>
      </c>
      <c r="O17" t="str">
        <f>_xlfn.XLOOKUP(B17,'Nuts&amp;Bolts'!J$19:J$26,'Nuts&amp;Bolts'!K$19:K$26,"",0,1)</f>
        <v/>
      </c>
      <c r="P17" t="str">
        <f>_xlfn.XLOOKUP(B17,'Nuts&amp;Bolts'!N$19:N$23,'Nuts&amp;Bolts'!O$19:O$23,"",0,1)</f>
        <v/>
      </c>
      <c r="Q17" t="str">
        <f>_xlfn.XLOOKUP(B17,'Nuts&amp;Bolts'!R$19:R$21,'Nuts&amp;Bolts'!S$19:S$21,"",0,1)</f>
        <v/>
      </c>
      <c r="R17" t="str">
        <f>_xlfn.XLOOKUP(B17,'Nuts&amp;Bolts'!V$19:V$22,'Nuts&amp;Bolts'!W$19:W$22,"",0,1)</f>
        <v/>
      </c>
      <c r="S17" t="str">
        <f>_xlfn.XLOOKUP(B17,'Nuts&amp;Bolts'!Z$19:Z$21,'Nuts&amp;Bolts'!AA$19:AA$21,"",0,1)</f>
        <v/>
      </c>
      <c r="T17" s="8" t="str">
        <f>_xlfn.XLOOKUP(B17,'Nuts&amp;Bolts'!AD$19:AD$24,'Nuts&amp;Bolts'!AE$19:AE$24,"",0,1)</f>
        <v/>
      </c>
    </row>
    <row r="18" spans="2:20" x14ac:dyDescent="0.2">
      <c r="B18" s="2" t="s">
        <v>45</v>
      </c>
      <c r="C18" t="str">
        <f>_xlfn.XLOOKUP(B18,'Nuts&amp;Bolts'!B$3:B$15,'Nuts&amp;Bolts'!C$3:C$15,"",0,1)</f>
        <v/>
      </c>
      <c r="D18" t="str">
        <f>_xlfn.XLOOKUP(B18,'Nuts&amp;Bolts'!F$3:F$5,'Nuts&amp;Bolts'!G$3:G$5,"",0,1)</f>
        <v/>
      </c>
      <c r="E18" t="str">
        <f>_xlfn.XLOOKUP(B18,'Nuts&amp;Bolts'!J$3:J$8,'Nuts&amp;Bolts'!K$3:K$8,"",0,1)</f>
        <v/>
      </c>
      <c r="F18" t="str">
        <f>_xlfn.XLOOKUP(B18,'Nuts&amp;Bolts'!N$3:N$8,'Nuts&amp;Bolts'!O$3:O$8,"",0,1)</f>
        <v/>
      </c>
      <c r="G18" t="str">
        <f>_xlfn.XLOOKUP(B18,'Nuts&amp;Bolts'!R$3:R$8,'Nuts&amp;Bolts'!S$3:S$8,"",0,1)</f>
        <v/>
      </c>
      <c r="H18" t="str">
        <f>_xlfn.XLOOKUP(B18,'Nuts&amp;Bolts'!V$3:V$9,'Nuts&amp;Bolts'!W$3:W$9,"",0,1)</f>
        <v/>
      </c>
      <c r="I18" t="str">
        <f>_xlfn.XLOOKUP(B18,'Nuts&amp;Bolts'!Z$3:Z$7,'Nuts&amp;Bolts'!AA$3:AA$7,"",0,1)</f>
        <v/>
      </c>
      <c r="J18" t="str">
        <f>_xlfn.XLOOKUP(B18,'Nuts&amp;Bolts'!AD$3:AD$7,'Nuts&amp;Bolts'!AE$3:AE$7,"",0,1)</f>
        <v/>
      </c>
      <c r="K18" t="str">
        <f>_xlfn.XLOOKUP(B18,'Nuts&amp;Bolts'!AH$3:AH$7,'Nuts&amp;Bolts'!AI$3:AI$7,"",0,1)</f>
        <v/>
      </c>
      <c r="L18" t="str">
        <f>_xlfn.XLOOKUP(B18,'Nuts&amp;Bolts'!AL$3:AL$7,'Nuts&amp;Bolts'!AM$3:AM$7,"",0,1)</f>
        <v/>
      </c>
      <c r="M18" t="str">
        <f>_xlfn.XLOOKUP(B18,'Nuts&amp;Bolts'!B$21:B$32,'Nuts&amp;Bolts'!C$21:C$32,"",0,1)</f>
        <v/>
      </c>
      <c r="N18">
        <f>_xlfn.XLOOKUP(B18,'Nuts&amp;Bolts'!F$19:F$22,'Nuts&amp;Bolts'!G$19:G$22,"",0,1)</f>
        <v>2</v>
      </c>
      <c r="O18">
        <f>_xlfn.XLOOKUP(B18,'Nuts&amp;Bolts'!J$19:J$26,'Nuts&amp;Bolts'!K$19:K$26,"",0,1)</f>
        <v>2</v>
      </c>
      <c r="P18">
        <f>_xlfn.XLOOKUP(B18,'Nuts&amp;Bolts'!N$19:N$23,'Nuts&amp;Bolts'!O$19:O$23,"",0,1)</f>
        <v>2</v>
      </c>
      <c r="Q18" t="str">
        <f>_xlfn.XLOOKUP(B18,'Nuts&amp;Bolts'!R$19:R$21,'Nuts&amp;Bolts'!S$19:S$21,"",0,1)</f>
        <v/>
      </c>
      <c r="R18" t="str">
        <f>_xlfn.XLOOKUP(B18,'Nuts&amp;Bolts'!V$19:V$22,'Nuts&amp;Bolts'!W$19:W$22,"",0,1)</f>
        <v/>
      </c>
      <c r="S18" t="str">
        <f>_xlfn.XLOOKUP(B18,'Nuts&amp;Bolts'!Z$19:Z$21,'Nuts&amp;Bolts'!AA$19:AA$21,"",0,1)</f>
        <v/>
      </c>
      <c r="T18" s="8" t="str">
        <f>_xlfn.XLOOKUP(B18,'Nuts&amp;Bolts'!AD$19:AD$24,'Nuts&amp;Bolts'!AE$19:AE$24,"",0,1)</f>
        <v/>
      </c>
    </row>
    <row r="19" spans="2:20" x14ac:dyDescent="0.2">
      <c r="B19" s="2" t="s">
        <v>47</v>
      </c>
      <c r="C19" t="str">
        <f>_xlfn.XLOOKUP(B19,'Nuts&amp;Bolts'!B$3:B$15,'Nuts&amp;Bolts'!C$3:C$15,"",0,1)</f>
        <v/>
      </c>
      <c r="D19" t="str">
        <f>_xlfn.XLOOKUP(B19,'Nuts&amp;Bolts'!F$3:F$5,'Nuts&amp;Bolts'!G$3:G$5,"",0,1)</f>
        <v/>
      </c>
      <c r="E19" t="str">
        <f>_xlfn.XLOOKUP(B19,'Nuts&amp;Bolts'!J$3:J$8,'Nuts&amp;Bolts'!K$3:K$8,"",0,1)</f>
        <v/>
      </c>
      <c r="F19" t="str">
        <f>_xlfn.XLOOKUP(B19,'Nuts&amp;Bolts'!N$3:N$8,'Nuts&amp;Bolts'!O$3:O$8,"",0,1)</f>
        <v/>
      </c>
      <c r="G19" t="str">
        <f>_xlfn.XLOOKUP(B19,'Nuts&amp;Bolts'!R$3:R$8,'Nuts&amp;Bolts'!S$3:S$8,"",0,1)</f>
        <v/>
      </c>
      <c r="H19" t="str">
        <f>_xlfn.XLOOKUP(B19,'Nuts&amp;Bolts'!V$3:V$9,'Nuts&amp;Bolts'!W$3:W$9,"",0,1)</f>
        <v/>
      </c>
      <c r="I19" t="str">
        <f>_xlfn.XLOOKUP(B19,'Nuts&amp;Bolts'!Z$3:Z$7,'Nuts&amp;Bolts'!AA$3:AA$7,"",0,1)</f>
        <v/>
      </c>
      <c r="J19" t="str">
        <f>_xlfn.XLOOKUP(B19,'Nuts&amp;Bolts'!AD$3:AD$7,'Nuts&amp;Bolts'!AE$3:AE$7,"",0,1)</f>
        <v/>
      </c>
      <c r="K19" t="str">
        <f>_xlfn.XLOOKUP(B19,'Nuts&amp;Bolts'!AH$3:AH$7,'Nuts&amp;Bolts'!AI$3:AI$7,"",0,1)</f>
        <v/>
      </c>
      <c r="L19" t="str">
        <f>_xlfn.XLOOKUP(B19,'Nuts&amp;Bolts'!AL$3:AL$7,'Nuts&amp;Bolts'!AM$3:AM$7,"",0,1)</f>
        <v/>
      </c>
      <c r="M19" t="str">
        <f>_xlfn.XLOOKUP(B19,'Nuts&amp;Bolts'!B$21:B$32,'Nuts&amp;Bolts'!C$21:C$32,"",0,1)</f>
        <v/>
      </c>
      <c r="N19" t="str">
        <f>_xlfn.XLOOKUP(B19,'Nuts&amp;Bolts'!F$19:F$22,'Nuts&amp;Bolts'!G$19:G$22,"",0,1)</f>
        <v/>
      </c>
      <c r="O19">
        <f>_xlfn.XLOOKUP(B19,'Nuts&amp;Bolts'!J$19:J$26,'Nuts&amp;Bolts'!K$19:K$26,"",0,1)</f>
        <v>2</v>
      </c>
      <c r="P19">
        <f>_xlfn.XLOOKUP(B19,'Nuts&amp;Bolts'!N$19:N$23,'Nuts&amp;Bolts'!O$19:O$23,"",0,1)</f>
        <v>2</v>
      </c>
      <c r="Q19" t="str">
        <f>_xlfn.XLOOKUP(B19,'Nuts&amp;Bolts'!R$19:R$21,'Nuts&amp;Bolts'!S$19:S$21,"",0,1)</f>
        <v/>
      </c>
      <c r="R19" t="str">
        <f>_xlfn.XLOOKUP(B19,'Nuts&amp;Bolts'!V$19:V$22,'Nuts&amp;Bolts'!W$19:W$22,"",0,1)</f>
        <v/>
      </c>
      <c r="S19" t="str">
        <f>_xlfn.XLOOKUP(B19,'Nuts&amp;Bolts'!Z$19:Z$21,'Nuts&amp;Bolts'!AA$19:AA$21,"",0,1)</f>
        <v/>
      </c>
      <c r="T19" s="8" t="str">
        <f>_xlfn.XLOOKUP(B19,'Nuts&amp;Bolts'!AD$19:AD$24,'Nuts&amp;Bolts'!AE$19:AE$24,"",0,1)</f>
        <v/>
      </c>
    </row>
    <row r="20" spans="2:20" x14ac:dyDescent="0.2">
      <c r="B20" s="2" t="s">
        <v>49</v>
      </c>
      <c r="C20" t="str">
        <f>_xlfn.XLOOKUP(B20,'Nuts&amp;Bolts'!B$3:B$15,'Nuts&amp;Bolts'!C$3:C$15,"",0,1)</f>
        <v/>
      </c>
      <c r="D20" t="str">
        <f>_xlfn.XLOOKUP(B20,'Nuts&amp;Bolts'!F$3:F$5,'Nuts&amp;Bolts'!G$3:G$5,"",0,1)</f>
        <v/>
      </c>
      <c r="E20" t="str">
        <f>_xlfn.XLOOKUP(B20,'Nuts&amp;Bolts'!J$3:J$8,'Nuts&amp;Bolts'!K$3:K$8,"",0,1)</f>
        <v/>
      </c>
      <c r="F20" t="str">
        <f>_xlfn.XLOOKUP(B20,'Nuts&amp;Bolts'!N$3:N$8,'Nuts&amp;Bolts'!O$3:O$8,"",0,1)</f>
        <v/>
      </c>
      <c r="G20" t="str">
        <f>_xlfn.XLOOKUP(B20,'Nuts&amp;Bolts'!R$3:R$8,'Nuts&amp;Bolts'!S$3:S$8,"",0,1)</f>
        <v/>
      </c>
      <c r="H20" t="str">
        <f>_xlfn.XLOOKUP(B20,'Nuts&amp;Bolts'!V$3:V$9,'Nuts&amp;Bolts'!W$3:W$9,"",0,1)</f>
        <v/>
      </c>
      <c r="I20" t="str">
        <f>_xlfn.XLOOKUP(B20,'Nuts&amp;Bolts'!Z$3:Z$7,'Nuts&amp;Bolts'!AA$3:AA$7,"",0,1)</f>
        <v/>
      </c>
      <c r="J20" t="str">
        <f>_xlfn.XLOOKUP(B20,'Nuts&amp;Bolts'!AD$3:AD$7,'Nuts&amp;Bolts'!AE$3:AE$7,"",0,1)</f>
        <v/>
      </c>
      <c r="K20" t="str">
        <f>_xlfn.XLOOKUP(B20,'Nuts&amp;Bolts'!AH$3:AH$7,'Nuts&amp;Bolts'!AI$3:AI$7,"",0,1)</f>
        <v/>
      </c>
      <c r="L20" t="str">
        <f>_xlfn.XLOOKUP(B20,'Nuts&amp;Bolts'!AL$3:AL$7,'Nuts&amp;Bolts'!AM$3:AM$7,"",0,1)</f>
        <v/>
      </c>
      <c r="M20" t="str">
        <f>_xlfn.XLOOKUP(B20,'Nuts&amp;Bolts'!B$21:B$32,'Nuts&amp;Bolts'!C$21:C$32,"",0,1)</f>
        <v/>
      </c>
      <c r="N20" t="str">
        <f>_xlfn.XLOOKUP(B20,'Nuts&amp;Bolts'!F$19:F$22,'Nuts&amp;Bolts'!G$19:G$22,"",0,1)</f>
        <v/>
      </c>
      <c r="O20">
        <f>_xlfn.XLOOKUP(B20,'Nuts&amp;Bolts'!J$19:J$26,'Nuts&amp;Bolts'!K$19:K$26,"",0,1)</f>
        <v>2</v>
      </c>
      <c r="P20">
        <f>_xlfn.XLOOKUP(B20,'Nuts&amp;Bolts'!N$19:N$23,'Nuts&amp;Bolts'!O$19:O$23,"",0,1)</f>
        <v>2</v>
      </c>
      <c r="Q20" t="str">
        <f>_xlfn.XLOOKUP(B20,'Nuts&amp;Bolts'!R$19:R$21,'Nuts&amp;Bolts'!S$19:S$21,"",0,1)</f>
        <v/>
      </c>
      <c r="R20" t="str">
        <f>_xlfn.XLOOKUP(B20,'Nuts&amp;Bolts'!V$19:V$22,'Nuts&amp;Bolts'!W$19:W$22,"",0,1)</f>
        <v/>
      </c>
      <c r="S20" t="str">
        <f>_xlfn.XLOOKUP(B20,'Nuts&amp;Bolts'!Z$19:Z$21,'Nuts&amp;Bolts'!AA$19:AA$21,"",0,1)</f>
        <v/>
      </c>
      <c r="T20" s="8" t="str">
        <f>_xlfn.XLOOKUP(B20,'Nuts&amp;Bolts'!AD$19:AD$24,'Nuts&amp;Bolts'!AE$19:AE$24,"",0,1)</f>
        <v/>
      </c>
    </row>
    <row r="21" spans="2:20" x14ac:dyDescent="0.2">
      <c r="B21" s="15" t="s">
        <v>62</v>
      </c>
      <c r="C21" s="16" t="str">
        <f>_xlfn.XLOOKUP(B21,'Nuts&amp;Bolts'!B$3:B$15,'Nuts&amp;Bolts'!C$3:C$15,"",0,1)</f>
        <v/>
      </c>
      <c r="D21" s="16" t="str">
        <f>_xlfn.XLOOKUP(B21,'Nuts&amp;Bolts'!F$3:F$5,'Nuts&amp;Bolts'!G$3:G$5,"",0,1)</f>
        <v/>
      </c>
      <c r="E21" s="16" t="str">
        <f>_xlfn.XLOOKUP(B21,'Nuts&amp;Bolts'!J$3:J$8,'Nuts&amp;Bolts'!K$3:K$8,"",0,1)</f>
        <v/>
      </c>
      <c r="F21" s="16" t="str">
        <f>_xlfn.XLOOKUP(B21,'Nuts&amp;Bolts'!N$3:N$8,'Nuts&amp;Bolts'!O$3:O$8,"",0,1)</f>
        <v/>
      </c>
      <c r="G21" s="16" t="str">
        <f>_xlfn.XLOOKUP(B21,'Nuts&amp;Bolts'!R$3:R$8,'Nuts&amp;Bolts'!S$3:S$8,"",0,1)</f>
        <v/>
      </c>
      <c r="H21" s="16" t="str">
        <f>_xlfn.XLOOKUP(B21,'Nuts&amp;Bolts'!V$3:V$9,'Nuts&amp;Bolts'!W$3:W$9,"",0,1)</f>
        <v/>
      </c>
      <c r="I21" s="16" t="str">
        <f>_xlfn.XLOOKUP(B21,'Nuts&amp;Bolts'!Z$3:Z$7,'Nuts&amp;Bolts'!AA$3:AA$7,"",0,1)</f>
        <v/>
      </c>
      <c r="J21" s="16" t="str">
        <f>_xlfn.XLOOKUP(B21,'Nuts&amp;Bolts'!AD$3:AD$7,'Nuts&amp;Bolts'!AE$3:AE$7,"",0,1)</f>
        <v/>
      </c>
      <c r="K21" s="16" t="str">
        <f>_xlfn.XLOOKUP(B21,'Nuts&amp;Bolts'!AH$3:AH$7,'Nuts&amp;Bolts'!AI$3:AI$7,"",0,1)</f>
        <v/>
      </c>
      <c r="L21" s="16" t="str">
        <f>_xlfn.XLOOKUP(B21,'Nuts&amp;Bolts'!AL$3:AL$7,'Nuts&amp;Bolts'!AM$3:AM$7,"",0,1)</f>
        <v/>
      </c>
      <c r="M21" s="16" t="str">
        <f>_xlfn.XLOOKUP(B21,'Nuts&amp;Bolts'!B$21:B$32,'Nuts&amp;Bolts'!C$21:C$32,"",0,1)</f>
        <v/>
      </c>
      <c r="N21" s="16" t="str">
        <f>_xlfn.XLOOKUP(B21,'Nuts&amp;Bolts'!F$19:F$22,'Nuts&amp;Bolts'!G$19:G$22,"",0,1)</f>
        <v/>
      </c>
      <c r="O21" s="16" t="str">
        <f>_xlfn.XLOOKUP(B21,'Nuts&amp;Bolts'!J$19:J$26,'Nuts&amp;Bolts'!K$19:K$26,"",0,1)</f>
        <v/>
      </c>
      <c r="P21" s="16" t="str">
        <f>_xlfn.XLOOKUP(B21,'Nuts&amp;Bolts'!N$19:N$23,'Nuts&amp;Bolts'!O$19:O$23,"",0,1)</f>
        <v/>
      </c>
      <c r="Q21" s="16" t="str">
        <f>_xlfn.XLOOKUP(B21,'Nuts&amp;Bolts'!R$19:R$21,'Nuts&amp;Bolts'!S$19:S$21,"",0,1)</f>
        <v/>
      </c>
      <c r="R21" s="16" t="str">
        <f>_xlfn.XLOOKUP(B21,'Nuts&amp;Bolts'!V$19:V$22,'Nuts&amp;Bolts'!W$19:W$22,"",0,1)</f>
        <v/>
      </c>
      <c r="S21" s="16" t="str">
        <f>_xlfn.XLOOKUP(B21,'Nuts&amp;Bolts'!Z$19:Z$21,'Nuts&amp;Bolts'!AA$19:AA$21,"",0,1)</f>
        <v/>
      </c>
      <c r="T21" s="17" t="str">
        <f>_xlfn.XLOOKUP(B21,'Nuts&amp;Bolts'!AD$19:AD$24,'Nuts&amp;Bolts'!AE$19:AE$24,"",0,1)</f>
        <v/>
      </c>
    </row>
    <row r="22" spans="2:20" x14ac:dyDescent="0.2">
      <c r="B22" s="2" t="s">
        <v>35</v>
      </c>
      <c r="C22" t="str">
        <f>_xlfn.XLOOKUP(B22,'Nuts&amp;Bolts'!B$3:B$15,'Nuts&amp;Bolts'!C$3:C$15,"",0,1)</f>
        <v/>
      </c>
      <c r="D22" t="str">
        <f>_xlfn.XLOOKUP(B22,'Nuts&amp;Bolts'!F$3:F$5,'Nuts&amp;Bolts'!G$3:G$5,"",0,1)</f>
        <v/>
      </c>
      <c r="E22" t="str">
        <f>_xlfn.XLOOKUP(B22,'Nuts&amp;Bolts'!J$3:J$8,'Nuts&amp;Bolts'!K$3:K$8,"",0,1)</f>
        <v/>
      </c>
      <c r="F22" t="str">
        <f>_xlfn.XLOOKUP(B22,'Nuts&amp;Bolts'!N$3:N$8,'Nuts&amp;Bolts'!O$3:O$8,"",0,1)</f>
        <v/>
      </c>
      <c r="G22" t="str">
        <f>_xlfn.XLOOKUP(B22,'Nuts&amp;Bolts'!R$3:R$8,'Nuts&amp;Bolts'!S$3:S$8,"",0,1)</f>
        <v/>
      </c>
      <c r="H22" t="str">
        <f>_xlfn.XLOOKUP(B22,'Nuts&amp;Bolts'!V$3:V$9,'Nuts&amp;Bolts'!W$3:W$9,"",0,1)</f>
        <v/>
      </c>
      <c r="I22">
        <f>_xlfn.XLOOKUP(B22,'Nuts&amp;Bolts'!Z$3:Z$7,'Nuts&amp;Bolts'!AA$3:AA$7,"",0,1)</f>
        <v>1</v>
      </c>
      <c r="J22" t="str">
        <f>_xlfn.XLOOKUP(B22,'Nuts&amp;Bolts'!AD$3:AD$7,'Nuts&amp;Bolts'!AE$3:AE$7,"",0,1)</f>
        <v/>
      </c>
      <c r="K22" t="str">
        <f>_xlfn.XLOOKUP(B22,'Nuts&amp;Bolts'!AH$3:AH$7,'Nuts&amp;Bolts'!AI$3:AI$7,"",0,1)</f>
        <v/>
      </c>
      <c r="L22" t="str">
        <f>_xlfn.XLOOKUP(B22,'Nuts&amp;Bolts'!AL$3:AL$7,'Nuts&amp;Bolts'!AM$3:AM$7,"",0,1)</f>
        <v/>
      </c>
      <c r="M22" t="str">
        <f>_xlfn.XLOOKUP(B22,'Nuts&amp;Bolts'!B$21:B$32,'Nuts&amp;Bolts'!C$21:C$32,"",0,1)</f>
        <v/>
      </c>
      <c r="N22" t="str">
        <f>_xlfn.XLOOKUP(B22,'Nuts&amp;Bolts'!F$19:F$22,'Nuts&amp;Bolts'!G$19:G$22,"",0,1)</f>
        <v/>
      </c>
      <c r="O22" t="str">
        <f>_xlfn.XLOOKUP(B22,'Nuts&amp;Bolts'!J$19:J$26,'Nuts&amp;Bolts'!K$19:K$26,"",0,1)</f>
        <v/>
      </c>
      <c r="P22" t="str">
        <f>_xlfn.XLOOKUP(B22,'Nuts&amp;Bolts'!N$19:N$23,'Nuts&amp;Bolts'!O$19:O$23,"",0,1)</f>
        <v/>
      </c>
      <c r="Q22" t="str">
        <f>_xlfn.XLOOKUP(B22,'Nuts&amp;Bolts'!R$19:R$21,'Nuts&amp;Bolts'!S$19:S$21,"",0,1)</f>
        <v/>
      </c>
      <c r="R22" t="str">
        <f>_xlfn.XLOOKUP(B22,'Nuts&amp;Bolts'!V$19:V$22,'Nuts&amp;Bolts'!W$19:W$22,"",0,1)</f>
        <v/>
      </c>
      <c r="S22" t="str">
        <f>_xlfn.XLOOKUP(B22,'Nuts&amp;Bolts'!Z$19:Z$21,'Nuts&amp;Bolts'!AA$19:AA$21,"",0,1)</f>
        <v/>
      </c>
      <c r="T22" s="8" t="str">
        <f>_xlfn.XLOOKUP(B22,'Nuts&amp;Bolts'!AD$19:AD$24,'Nuts&amp;Bolts'!AE$19:AE$24,"",0,1)</f>
        <v/>
      </c>
    </row>
    <row r="23" spans="2:20" x14ac:dyDescent="0.2">
      <c r="B23" s="2" t="s">
        <v>71</v>
      </c>
      <c r="C23" t="str">
        <f>_xlfn.XLOOKUP(B23,'Nuts&amp;Bolts'!B$3:B$15,'Nuts&amp;Bolts'!C$3:C$15,"",0,1)</f>
        <v/>
      </c>
      <c r="D23" t="str">
        <f>_xlfn.XLOOKUP(B23,'Nuts&amp;Bolts'!F$3:F$5,'Nuts&amp;Bolts'!G$3:G$5,"",0,1)</f>
        <v/>
      </c>
      <c r="E23" t="str">
        <f>_xlfn.XLOOKUP(B23,'Nuts&amp;Bolts'!J$3:J$8,'Nuts&amp;Bolts'!K$3:K$8,"",0,1)</f>
        <v/>
      </c>
      <c r="F23" t="str">
        <f>_xlfn.XLOOKUP(B23,'Nuts&amp;Bolts'!N$3:N$8,'Nuts&amp;Bolts'!O$3:O$8,"",0,1)</f>
        <v/>
      </c>
      <c r="G23" t="str">
        <f>_xlfn.XLOOKUP(B23,'Nuts&amp;Bolts'!R$3:R$8,'Nuts&amp;Bolts'!S$3:S$8,"",0,1)</f>
        <v/>
      </c>
      <c r="H23" t="str">
        <f>_xlfn.XLOOKUP(B23,'Nuts&amp;Bolts'!V$3:V$9,'Nuts&amp;Bolts'!W$3:W$9,"",0,1)</f>
        <v/>
      </c>
      <c r="I23">
        <f>_xlfn.XLOOKUP(B23,'Nuts&amp;Bolts'!Z$3:Z$7,'Nuts&amp;Bolts'!AA$3:AA$7,"",0,1)</f>
        <v>1</v>
      </c>
      <c r="J23" t="str">
        <f>_xlfn.XLOOKUP(B23,'Nuts&amp;Bolts'!AD$3:AD$7,'Nuts&amp;Bolts'!AE$3:AE$7,"",0,1)</f>
        <v/>
      </c>
      <c r="K23" t="str">
        <f>_xlfn.XLOOKUP(B23,'Nuts&amp;Bolts'!AH$3:AH$7,'Nuts&amp;Bolts'!AI$3:AI$7,"",0,1)</f>
        <v/>
      </c>
      <c r="L23" t="str">
        <f>_xlfn.XLOOKUP(B23,'Nuts&amp;Bolts'!AL$3:AL$7,'Nuts&amp;Bolts'!AM$3:AM$7,"",0,1)</f>
        <v/>
      </c>
      <c r="M23" t="str">
        <f>_xlfn.XLOOKUP(B23,'Nuts&amp;Bolts'!B$21:B$32,'Nuts&amp;Bolts'!C$21:C$32,"",0,1)</f>
        <v/>
      </c>
      <c r="N23" t="str">
        <f>_xlfn.XLOOKUP(B23,'Nuts&amp;Bolts'!F$19:F$22,'Nuts&amp;Bolts'!G$19:G$22,"",0,1)</f>
        <v/>
      </c>
      <c r="O23" t="str">
        <f>_xlfn.XLOOKUP(B23,'Nuts&amp;Bolts'!J$19:J$26,'Nuts&amp;Bolts'!K$19:K$26,"",0,1)</f>
        <v/>
      </c>
      <c r="P23" t="str">
        <f>_xlfn.XLOOKUP(B23,'Nuts&amp;Bolts'!N$19:N$23,'Nuts&amp;Bolts'!O$19:O$23,"",0,1)</f>
        <v/>
      </c>
      <c r="Q23" t="str">
        <f>_xlfn.XLOOKUP(B23,'Nuts&amp;Bolts'!R$19:R$21,'Nuts&amp;Bolts'!S$19:S$21,"",0,1)</f>
        <v/>
      </c>
      <c r="R23" t="str">
        <f>_xlfn.XLOOKUP(B23,'Nuts&amp;Bolts'!V$19:V$22,'Nuts&amp;Bolts'!W$19:W$22,"",0,1)</f>
        <v/>
      </c>
      <c r="S23" t="str">
        <f>_xlfn.XLOOKUP(B23,'Nuts&amp;Bolts'!Z$19:Z$21,'Nuts&amp;Bolts'!AA$19:AA$21,"",0,1)</f>
        <v/>
      </c>
      <c r="T23" s="8" t="str">
        <f>_xlfn.XLOOKUP(B23,'Nuts&amp;Bolts'!AD$19:AD$24,'Nuts&amp;Bolts'!AE$19:AE$24,"",0,1)</f>
        <v/>
      </c>
    </row>
    <row r="24" spans="2:20" x14ac:dyDescent="0.2">
      <c r="B24" s="15" t="s">
        <v>62</v>
      </c>
      <c r="C24" s="16" t="str">
        <f>_xlfn.XLOOKUP(B24,'Nuts&amp;Bolts'!B$3:B$15,'Nuts&amp;Bolts'!C$3:C$15,"",0,1)</f>
        <v/>
      </c>
      <c r="D24" s="16" t="str">
        <f>_xlfn.XLOOKUP(B24,'Nuts&amp;Bolts'!F$3:F$5,'Nuts&amp;Bolts'!G$3:G$5,"",0,1)</f>
        <v/>
      </c>
      <c r="E24" s="16" t="str">
        <f>_xlfn.XLOOKUP(B24,'Nuts&amp;Bolts'!J$3:J$8,'Nuts&amp;Bolts'!K$3:K$8,"",0,1)</f>
        <v/>
      </c>
      <c r="F24" s="16" t="str">
        <f>_xlfn.XLOOKUP(B24,'Nuts&amp;Bolts'!N$3:N$8,'Nuts&amp;Bolts'!O$3:O$8,"",0,1)</f>
        <v/>
      </c>
      <c r="G24" s="16" t="str">
        <f>_xlfn.XLOOKUP(B24,'Nuts&amp;Bolts'!R$3:R$8,'Nuts&amp;Bolts'!S$3:S$8,"",0,1)</f>
        <v/>
      </c>
      <c r="H24" s="16" t="str">
        <f>_xlfn.XLOOKUP(B24,'Nuts&amp;Bolts'!V$3:V$9,'Nuts&amp;Bolts'!W$3:W$9,"",0,1)</f>
        <v/>
      </c>
      <c r="I24" s="16" t="str">
        <f>_xlfn.XLOOKUP(B24,'Nuts&amp;Bolts'!Z$3:Z$7,'Nuts&amp;Bolts'!AA$3:AA$7,"",0,1)</f>
        <v/>
      </c>
      <c r="J24" s="16" t="str">
        <f>_xlfn.XLOOKUP(B24,'Nuts&amp;Bolts'!AD$3:AD$7,'Nuts&amp;Bolts'!AE$3:AE$7,"",0,1)</f>
        <v/>
      </c>
      <c r="K24" s="16" t="str">
        <f>_xlfn.XLOOKUP(B24,'Nuts&amp;Bolts'!AH$3:AH$7,'Nuts&amp;Bolts'!AI$3:AI$7,"",0,1)</f>
        <v/>
      </c>
      <c r="L24" s="16" t="str">
        <f>_xlfn.XLOOKUP(B24,'Nuts&amp;Bolts'!AL$3:AL$7,'Nuts&amp;Bolts'!AM$3:AM$7,"",0,1)</f>
        <v/>
      </c>
      <c r="M24" s="16" t="str">
        <f>_xlfn.XLOOKUP(B24,'Nuts&amp;Bolts'!B$21:B$32,'Nuts&amp;Bolts'!C$21:C$32,"",0,1)</f>
        <v/>
      </c>
      <c r="N24" s="16" t="str">
        <f>_xlfn.XLOOKUP(B24,'Nuts&amp;Bolts'!F$19:F$22,'Nuts&amp;Bolts'!G$19:G$22,"",0,1)</f>
        <v/>
      </c>
      <c r="O24" s="16" t="str">
        <f>_xlfn.XLOOKUP(B24,'Nuts&amp;Bolts'!J$19:J$26,'Nuts&amp;Bolts'!K$19:K$26,"",0,1)</f>
        <v/>
      </c>
      <c r="P24" s="16" t="str">
        <f>_xlfn.XLOOKUP(B24,'Nuts&amp;Bolts'!N$19:N$23,'Nuts&amp;Bolts'!O$19:O$23,"",0,1)</f>
        <v/>
      </c>
      <c r="Q24" s="16" t="str">
        <f>_xlfn.XLOOKUP(B24,'Nuts&amp;Bolts'!R$19:R$21,'Nuts&amp;Bolts'!S$19:S$21,"",0,1)</f>
        <v/>
      </c>
      <c r="R24" s="16" t="str">
        <f>_xlfn.XLOOKUP(B24,'Nuts&amp;Bolts'!V$19:V$22,'Nuts&amp;Bolts'!W$19:W$22,"",0,1)</f>
        <v/>
      </c>
      <c r="S24" s="16" t="str">
        <f>_xlfn.XLOOKUP(B24,'Nuts&amp;Bolts'!Z$19:Z$21,'Nuts&amp;Bolts'!AA$19:AA$21,"",0,1)</f>
        <v/>
      </c>
      <c r="T24" s="17" t="str">
        <f>_xlfn.XLOOKUP(B24,'Nuts&amp;Bolts'!AD$19:AD$24,'Nuts&amp;Bolts'!AE$19:AE$24,"",0,1)</f>
        <v/>
      </c>
    </row>
    <row r="25" spans="2:20" x14ac:dyDescent="0.2">
      <c r="B25" s="2" t="s">
        <v>67</v>
      </c>
      <c r="C25">
        <f>_xlfn.XLOOKUP(B25,'Nuts&amp;Bolts'!B$3:B$15,'Nuts&amp;Bolts'!C$3:C$15,"",0,1)</f>
        <v>4</v>
      </c>
      <c r="D25" t="str">
        <f>_xlfn.XLOOKUP(B25,'Nuts&amp;Bolts'!F$3:F$5,'Nuts&amp;Bolts'!G$3:G$5,"",0,1)</f>
        <v/>
      </c>
      <c r="E25" t="str">
        <f>_xlfn.XLOOKUP(B25,'Nuts&amp;Bolts'!J$3:J$8,'Nuts&amp;Bolts'!K$3:K$8,"",0,1)</f>
        <v/>
      </c>
      <c r="F25" t="str">
        <f>_xlfn.XLOOKUP(B25,'Nuts&amp;Bolts'!N$3:N$8,'Nuts&amp;Bolts'!O$3:O$8,"",0,1)</f>
        <v/>
      </c>
      <c r="G25" t="str">
        <f>_xlfn.XLOOKUP(B25,'Nuts&amp;Bolts'!R$3:R$8,'Nuts&amp;Bolts'!S$3:S$8,"",0,1)</f>
        <v/>
      </c>
      <c r="H25" t="str">
        <f>_xlfn.XLOOKUP(B25,'Nuts&amp;Bolts'!V$3:V$9,'Nuts&amp;Bolts'!W$3:W$9,"",0,1)</f>
        <v/>
      </c>
      <c r="I25" t="str">
        <f>_xlfn.XLOOKUP(B25,'Nuts&amp;Bolts'!Z$3:Z$7,'Nuts&amp;Bolts'!AA$3:AA$7,"",0,1)</f>
        <v/>
      </c>
      <c r="J25" t="str">
        <f>_xlfn.XLOOKUP(B25,'Nuts&amp;Bolts'!AD$3:AD$7,'Nuts&amp;Bolts'!AE$3:AE$7,"",0,1)</f>
        <v/>
      </c>
      <c r="K25" t="str">
        <f>_xlfn.XLOOKUP(B25,'Nuts&amp;Bolts'!AH$3:AH$7,'Nuts&amp;Bolts'!AI$3:AI$7,"",0,1)</f>
        <v/>
      </c>
      <c r="L25" t="str">
        <f>_xlfn.XLOOKUP(B25,'Nuts&amp;Bolts'!AL$3:AL$7,'Nuts&amp;Bolts'!AM$3:AM$7,"",0,1)</f>
        <v/>
      </c>
      <c r="M25" t="str">
        <f>_xlfn.XLOOKUP(B25,'Nuts&amp;Bolts'!B$21:B$32,'Nuts&amp;Bolts'!C$21:C$32,"",0,1)</f>
        <v/>
      </c>
      <c r="N25" t="str">
        <f>_xlfn.XLOOKUP(B25,'Nuts&amp;Bolts'!F$19:F$22,'Nuts&amp;Bolts'!G$19:G$22,"",0,1)</f>
        <v/>
      </c>
      <c r="O25" t="str">
        <f>_xlfn.XLOOKUP(B25,'Nuts&amp;Bolts'!J$19:J$26,'Nuts&amp;Bolts'!K$19:K$26,"",0,1)</f>
        <v/>
      </c>
      <c r="P25" t="str">
        <f>_xlfn.XLOOKUP(B25,'Nuts&amp;Bolts'!N$19:N$23,'Nuts&amp;Bolts'!O$19:O$23,"",0,1)</f>
        <v/>
      </c>
      <c r="Q25" t="str">
        <f>_xlfn.XLOOKUP(B25,'Nuts&amp;Bolts'!R$19:R$21,'Nuts&amp;Bolts'!S$19:S$21,"",0,1)</f>
        <v/>
      </c>
      <c r="R25" t="str">
        <f>_xlfn.XLOOKUP(B25,'Nuts&amp;Bolts'!V$19:V$22,'Nuts&amp;Bolts'!W$19:W$22,"",0,1)</f>
        <v/>
      </c>
      <c r="S25" t="str">
        <f>_xlfn.XLOOKUP(B25,'Nuts&amp;Bolts'!Z$19:Z$21,'Nuts&amp;Bolts'!AA$19:AA$21,"",0,1)</f>
        <v/>
      </c>
      <c r="T25" s="8" t="str">
        <f>_xlfn.XLOOKUP(B25,'Nuts&amp;Bolts'!AD$19:AD$24,'Nuts&amp;Bolts'!AE$19:AE$24,"",0,1)</f>
        <v/>
      </c>
    </row>
    <row r="26" spans="2:20" x14ac:dyDescent="0.2">
      <c r="B26" s="2" t="s">
        <v>15</v>
      </c>
      <c r="C26" t="str">
        <f>_xlfn.XLOOKUP(B26,'Nuts&amp;Bolts'!B$3:B$15,'Nuts&amp;Bolts'!C$3:C$15,"",0,1)</f>
        <v/>
      </c>
      <c r="D26" t="str">
        <f>_xlfn.XLOOKUP(B26,'Nuts&amp;Bolts'!F$3:F$5,'Nuts&amp;Bolts'!G$3:G$5,"",0,1)</f>
        <v/>
      </c>
      <c r="E26" t="str">
        <f>_xlfn.XLOOKUP(B26,'Nuts&amp;Bolts'!J$3:J$8,'Nuts&amp;Bolts'!K$3:K$8,"",0,1)</f>
        <v/>
      </c>
      <c r="F26" t="str">
        <f>_xlfn.XLOOKUP(B26,'Nuts&amp;Bolts'!N$3:N$8,'Nuts&amp;Bolts'!O$3:O$8,"",0,1)</f>
        <v/>
      </c>
      <c r="G26" t="str">
        <f>_xlfn.XLOOKUP(B26,'Nuts&amp;Bolts'!R$3:R$8,'Nuts&amp;Bolts'!S$3:S$8,"",0,1)</f>
        <v/>
      </c>
      <c r="H26" t="str">
        <f>_xlfn.XLOOKUP(B26,'Nuts&amp;Bolts'!V$3:V$9,'Nuts&amp;Bolts'!W$3:W$9,"",0,1)</f>
        <v/>
      </c>
      <c r="I26" t="str">
        <f>_xlfn.XLOOKUP(B26,'Nuts&amp;Bolts'!Z$3:Z$7,'Nuts&amp;Bolts'!AA$3:AA$7,"",0,1)</f>
        <v/>
      </c>
      <c r="J26" t="str">
        <f>_xlfn.XLOOKUP(B26,'Nuts&amp;Bolts'!AD$3:AD$7,'Nuts&amp;Bolts'!AE$3:AE$7,"",0,1)</f>
        <v/>
      </c>
      <c r="K26" t="str">
        <f>_xlfn.XLOOKUP(B26,'Nuts&amp;Bolts'!AH$3:AH$7,'Nuts&amp;Bolts'!AI$3:AI$7,"",0,1)</f>
        <v/>
      </c>
      <c r="L26" t="str">
        <f>_xlfn.XLOOKUP(B26,'Nuts&amp;Bolts'!AL$3:AL$7,'Nuts&amp;Bolts'!AM$3:AM$7,"",0,1)</f>
        <v/>
      </c>
      <c r="M26">
        <f>_xlfn.XLOOKUP(B26,'Nuts&amp;Bolts'!B$21:B$32,'Nuts&amp;Bolts'!C$21:C$32,"",0,1)</f>
        <v>7</v>
      </c>
      <c r="N26" t="str">
        <f>_xlfn.XLOOKUP(B26,'Nuts&amp;Bolts'!F$19:F$22,'Nuts&amp;Bolts'!G$19:G$22,"",0,1)</f>
        <v/>
      </c>
      <c r="O26" t="str">
        <f>_xlfn.XLOOKUP(B26,'Nuts&amp;Bolts'!J$19:J$26,'Nuts&amp;Bolts'!K$19:K$26,"",0,1)</f>
        <v/>
      </c>
      <c r="P26" t="str">
        <f>_xlfn.XLOOKUP(B26,'Nuts&amp;Bolts'!N$19:N$23,'Nuts&amp;Bolts'!O$19:O$23,"",0,1)</f>
        <v/>
      </c>
      <c r="Q26" t="str">
        <f>_xlfn.XLOOKUP(B26,'Nuts&amp;Bolts'!R$19:R$21,'Nuts&amp;Bolts'!S$19:S$21,"",0,1)</f>
        <v/>
      </c>
      <c r="R26" t="str">
        <f>_xlfn.XLOOKUP(B26,'Nuts&amp;Bolts'!V$19:V$22,'Nuts&amp;Bolts'!W$19:W$22,"",0,1)</f>
        <v/>
      </c>
      <c r="S26">
        <f>_xlfn.XLOOKUP(B26,'Nuts&amp;Bolts'!Z$19:Z$21,'Nuts&amp;Bolts'!AA$19:AA$21,"",0,1)</f>
        <v>2</v>
      </c>
      <c r="T26" s="8">
        <f>_xlfn.XLOOKUP(B26,'Nuts&amp;Bolts'!AD$19:AD$24,'Nuts&amp;Bolts'!AE$19:AE$24,"",0,1)</f>
        <v>4</v>
      </c>
    </row>
    <row r="27" spans="2:20" x14ac:dyDescent="0.2">
      <c r="B27" s="2" t="s">
        <v>16</v>
      </c>
      <c r="C27">
        <f>_xlfn.XLOOKUP(B27,'Nuts&amp;Bolts'!B$3:B$15,'Nuts&amp;Bolts'!C$3:C$15,"",0,1)</f>
        <v>16</v>
      </c>
      <c r="D27">
        <f>_xlfn.XLOOKUP(B27,'Nuts&amp;Bolts'!F$3:F$5,'Nuts&amp;Bolts'!G$3:G$5,"",0,1)</f>
        <v>12</v>
      </c>
      <c r="E27">
        <f>_xlfn.XLOOKUP(B27,'Nuts&amp;Bolts'!J$3:J$8,'Nuts&amp;Bolts'!K$3:K$8,"",0,1)</f>
        <v>4</v>
      </c>
      <c r="F27">
        <f>_xlfn.XLOOKUP(B27,'Nuts&amp;Bolts'!N$3:N$8,'Nuts&amp;Bolts'!O$3:O$8,"",0,1)</f>
        <v>4</v>
      </c>
      <c r="G27" t="str">
        <f>_xlfn.XLOOKUP(B27,'Nuts&amp;Bolts'!R$3:R$8,'Nuts&amp;Bolts'!S$3:S$8,"",0,1)</f>
        <v/>
      </c>
      <c r="H27" t="str">
        <f>_xlfn.XLOOKUP(B27,'Nuts&amp;Bolts'!V$3:V$9,'Nuts&amp;Bolts'!W$3:W$9,"",0,1)</f>
        <v/>
      </c>
      <c r="I27" t="str">
        <f>_xlfn.XLOOKUP(B27,'Nuts&amp;Bolts'!Z$3:Z$7,'Nuts&amp;Bolts'!AA$3:AA$7,"",0,1)</f>
        <v/>
      </c>
      <c r="J27" t="str">
        <f>_xlfn.XLOOKUP(B27,'Nuts&amp;Bolts'!AD$3:AD$7,'Nuts&amp;Bolts'!AE$3:AE$7,"",0,1)</f>
        <v/>
      </c>
      <c r="K27" t="str">
        <f>_xlfn.XLOOKUP(B27,'Nuts&amp;Bolts'!AH$3:AH$7,'Nuts&amp;Bolts'!AI$3:AI$7,"",0,1)</f>
        <v/>
      </c>
      <c r="L27">
        <f>_xlfn.XLOOKUP(B27,'Nuts&amp;Bolts'!AL$3:AL$7,'Nuts&amp;Bolts'!AM$3:AM$7,"",0,1)</f>
        <v>4</v>
      </c>
      <c r="M27">
        <f>_xlfn.XLOOKUP(B27,'Nuts&amp;Bolts'!B$21:B$32,'Nuts&amp;Bolts'!C$21:C$32,"",0,1)</f>
        <v>4</v>
      </c>
      <c r="N27" t="str">
        <f>_xlfn.XLOOKUP(B27,'Nuts&amp;Bolts'!F$19:F$22,'Nuts&amp;Bolts'!G$19:G$22,"",0,1)</f>
        <v/>
      </c>
      <c r="O27" t="str">
        <f>_xlfn.XLOOKUP(B27,'Nuts&amp;Bolts'!J$19:J$26,'Nuts&amp;Bolts'!K$19:K$26,"",0,1)</f>
        <v/>
      </c>
      <c r="P27" t="str">
        <f>_xlfn.XLOOKUP(B27,'Nuts&amp;Bolts'!N$19:N$23,'Nuts&amp;Bolts'!O$19:O$23,"",0,1)</f>
        <v/>
      </c>
      <c r="Q27" t="str">
        <f>_xlfn.XLOOKUP(B27,'Nuts&amp;Bolts'!R$19:R$21,'Nuts&amp;Bolts'!S$19:S$21,"",0,1)</f>
        <v/>
      </c>
      <c r="R27" t="str">
        <f>_xlfn.XLOOKUP(B27,'Nuts&amp;Bolts'!V$19:V$22,'Nuts&amp;Bolts'!W$19:W$22,"",0,1)</f>
        <v/>
      </c>
      <c r="S27" t="str">
        <f>_xlfn.XLOOKUP(B27,'Nuts&amp;Bolts'!Z$19:Z$21,'Nuts&amp;Bolts'!AA$19:AA$21,"",0,1)</f>
        <v/>
      </c>
      <c r="T27" s="8" t="str">
        <f>_xlfn.XLOOKUP(B27,'Nuts&amp;Bolts'!AD$19:AD$24,'Nuts&amp;Bolts'!AE$19:AE$24,"",0,1)</f>
        <v/>
      </c>
    </row>
    <row r="28" spans="2:20" x14ac:dyDescent="0.2">
      <c r="B28" s="2" t="s">
        <v>17</v>
      </c>
      <c r="C28" t="str">
        <f>_xlfn.XLOOKUP(B28,'Nuts&amp;Bolts'!B$3:B$15,'Nuts&amp;Bolts'!C$3:C$15,"",0,1)</f>
        <v/>
      </c>
      <c r="D28" t="str">
        <f>_xlfn.XLOOKUP(B28,'Nuts&amp;Bolts'!F$3:F$5,'Nuts&amp;Bolts'!G$3:G$5,"",0,1)</f>
        <v/>
      </c>
      <c r="E28" t="str">
        <f>_xlfn.XLOOKUP(B28,'Nuts&amp;Bolts'!J$3:J$8,'Nuts&amp;Bolts'!K$3:K$8,"",0,1)</f>
        <v/>
      </c>
      <c r="F28">
        <f>_xlfn.XLOOKUP(B28,'Nuts&amp;Bolts'!N$3:N$8,'Nuts&amp;Bolts'!O$3:O$8,"",0,1)</f>
        <v>2</v>
      </c>
      <c r="G28" t="str">
        <f>_xlfn.XLOOKUP(B28,'Nuts&amp;Bolts'!R$3:R$8,'Nuts&amp;Bolts'!S$3:S$8,"",0,1)</f>
        <v/>
      </c>
      <c r="H28" t="str">
        <f>_xlfn.XLOOKUP(B28,'Nuts&amp;Bolts'!V$3:V$9,'Nuts&amp;Bolts'!W$3:W$9,"",0,1)</f>
        <v/>
      </c>
      <c r="I28" t="str">
        <f>_xlfn.XLOOKUP(B28,'Nuts&amp;Bolts'!Z$3:Z$7,'Nuts&amp;Bolts'!AA$3:AA$7,"",0,1)</f>
        <v/>
      </c>
      <c r="J28">
        <f>_xlfn.XLOOKUP(B28,'Nuts&amp;Bolts'!AD$3:AD$7,'Nuts&amp;Bolts'!AE$3:AE$7,"",0,1)</f>
        <v>4</v>
      </c>
      <c r="K28" t="str">
        <f>_xlfn.XLOOKUP(B28,'Nuts&amp;Bolts'!AH$3:AH$7,'Nuts&amp;Bolts'!AI$3:AI$7,"",0,1)</f>
        <v/>
      </c>
      <c r="L28" t="str">
        <f>_xlfn.XLOOKUP(B28,'Nuts&amp;Bolts'!AL$3:AL$7,'Nuts&amp;Bolts'!AM$3:AM$7,"",0,1)</f>
        <v/>
      </c>
      <c r="M28" t="str">
        <f>_xlfn.XLOOKUP(B28,'Nuts&amp;Bolts'!B$21:B$32,'Nuts&amp;Bolts'!C$21:C$32,"",0,1)</f>
        <v/>
      </c>
      <c r="N28" t="str">
        <f>_xlfn.XLOOKUP(B28,'Nuts&amp;Bolts'!F$19:F$22,'Nuts&amp;Bolts'!G$19:G$22,"",0,1)</f>
        <v/>
      </c>
      <c r="O28">
        <f>_xlfn.XLOOKUP(B28,'Nuts&amp;Bolts'!J$19:J$26,'Nuts&amp;Bolts'!K$19:K$26,"",0,1)</f>
        <v>6</v>
      </c>
      <c r="P28">
        <f>_xlfn.XLOOKUP(B28,'Nuts&amp;Bolts'!N$19:N$23,'Nuts&amp;Bolts'!O$19:O$23,"",0,1)</f>
        <v>6</v>
      </c>
      <c r="Q28">
        <f>_xlfn.XLOOKUP(B28,'Nuts&amp;Bolts'!R$19:R$21,'Nuts&amp;Bolts'!S$19:S$21,"",0,1)</f>
        <v>6</v>
      </c>
      <c r="R28">
        <f>_xlfn.XLOOKUP(B28,'Nuts&amp;Bolts'!V$19:V$22,'Nuts&amp;Bolts'!W$19:W$22,"",0,1)</f>
        <v>4</v>
      </c>
      <c r="S28" t="str">
        <f>_xlfn.XLOOKUP(B28,'Nuts&amp;Bolts'!Z$19:Z$21,'Nuts&amp;Bolts'!AA$19:AA$21,"",0,1)</f>
        <v/>
      </c>
      <c r="T28" s="8" t="str">
        <f>_xlfn.XLOOKUP(B28,'Nuts&amp;Bolts'!AD$19:AD$24,'Nuts&amp;Bolts'!AE$19:AE$24,"",0,1)</f>
        <v/>
      </c>
    </row>
    <row r="29" spans="2:20" x14ac:dyDescent="0.2">
      <c r="B29" s="2" t="s">
        <v>37</v>
      </c>
      <c r="C29" t="str">
        <f>_xlfn.XLOOKUP(B29,'Nuts&amp;Bolts'!B$3:B$15,'Nuts&amp;Bolts'!C$3:C$15,"",0,1)</f>
        <v/>
      </c>
      <c r="D29" t="str">
        <f>_xlfn.XLOOKUP(B29,'Nuts&amp;Bolts'!F$3:F$5,'Nuts&amp;Bolts'!G$3:G$5,"",0,1)</f>
        <v/>
      </c>
      <c r="E29" t="str">
        <f>_xlfn.XLOOKUP(B29,'Nuts&amp;Bolts'!J$3:J$8,'Nuts&amp;Bolts'!K$3:K$8,"",0,1)</f>
        <v/>
      </c>
      <c r="F29" t="str">
        <f>_xlfn.XLOOKUP(B29,'Nuts&amp;Bolts'!N$3:N$8,'Nuts&amp;Bolts'!O$3:O$8,"",0,1)</f>
        <v/>
      </c>
      <c r="G29" t="str">
        <f>_xlfn.XLOOKUP(B29,'Nuts&amp;Bolts'!R$3:R$8,'Nuts&amp;Bolts'!S$3:S$8,"",0,1)</f>
        <v/>
      </c>
      <c r="H29" t="str">
        <f>_xlfn.XLOOKUP(B29,'Nuts&amp;Bolts'!V$3:V$9,'Nuts&amp;Bolts'!W$3:W$9,"",0,1)</f>
        <v/>
      </c>
      <c r="I29">
        <f>_xlfn.XLOOKUP(B29,'Nuts&amp;Bolts'!Z$3:Z$7,'Nuts&amp;Bolts'!AA$3:AA$7,"",0,1)</f>
        <v>2</v>
      </c>
      <c r="J29" t="str">
        <f>_xlfn.XLOOKUP(B29,'Nuts&amp;Bolts'!AD$3:AD$7,'Nuts&amp;Bolts'!AE$3:AE$7,"",0,1)</f>
        <v/>
      </c>
      <c r="K29" t="str">
        <f>_xlfn.XLOOKUP(B29,'Nuts&amp;Bolts'!AH$3:AH$7,'Nuts&amp;Bolts'!AI$3:AI$7,"",0,1)</f>
        <v/>
      </c>
      <c r="L29" t="str">
        <f>_xlfn.XLOOKUP(B29,'Nuts&amp;Bolts'!AL$3:AL$7,'Nuts&amp;Bolts'!AM$3:AM$7,"",0,1)</f>
        <v/>
      </c>
      <c r="M29" t="str">
        <f>_xlfn.XLOOKUP(B29,'Nuts&amp;Bolts'!B$21:B$32,'Nuts&amp;Bolts'!C$21:C$32,"",0,1)</f>
        <v/>
      </c>
      <c r="N29" t="str">
        <f>_xlfn.XLOOKUP(B29,'Nuts&amp;Bolts'!F$19:F$22,'Nuts&amp;Bolts'!G$19:G$22,"",0,1)</f>
        <v/>
      </c>
      <c r="O29" t="str">
        <f>_xlfn.XLOOKUP(B29,'Nuts&amp;Bolts'!J$19:J$26,'Nuts&amp;Bolts'!K$19:K$26,"",0,1)</f>
        <v/>
      </c>
      <c r="P29" t="str">
        <f>_xlfn.XLOOKUP(B29,'Nuts&amp;Bolts'!N$19:N$23,'Nuts&amp;Bolts'!O$19:O$23,"",0,1)</f>
        <v/>
      </c>
      <c r="Q29" t="str">
        <f>_xlfn.XLOOKUP(B29,'Nuts&amp;Bolts'!R$19:R$21,'Nuts&amp;Bolts'!S$19:S$21,"",0,1)</f>
        <v/>
      </c>
      <c r="R29" t="str">
        <f>_xlfn.XLOOKUP(B29,'Nuts&amp;Bolts'!V$19:V$22,'Nuts&amp;Bolts'!W$19:W$22,"",0,1)</f>
        <v/>
      </c>
      <c r="S29" t="str">
        <f>_xlfn.XLOOKUP(B29,'Nuts&amp;Bolts'!Z$19:Z$21,'Nuts&amp;Bolts'!AA$19:AA$21,"",0,1)</f>
        <v/>
      </c>
      <c r="T29" s="8" t="str">
        <f>_xlfn.XLOOKUP(B29,'Nuts&amp;Bolts'!AD$19:AD$24,'Nuts&amp;Bolts'!AE$19:AE$24,"",0,1)</f>
        <v/>
      </c>
    </row>
    <row r="30" spans="2:20" x14ac:dyDescent="0.2">
      <c r="B30" s="2" t="s">
        <v>73</v>
      </c>
      <c r="C30" t="str">
        <f>_xlfn.XLOOKUP(B30,'Nuts&amp;Bolts'!B$3:B$15,'Nuts&amp;Bolts'!C$3:C$15,"",0,1)</f>
        <v/>
      </c>
      <c r="D30" t="str">
        <f>_xlfn.XLOOKUP(B30,'Nuts&amp;Bolts'!F$3:F$5,'Nuts&amp;Bolts'!G$3:G$5,"",0,1)</f>
        <v/>
      </c>
      <c r="E30" t="str">
        <f>_xlfn.XLOOKUP(B30,'Nuts&amp;Bolts'!J$3:J$8,'Nuts&amp;Bolts'!K$3:K$8,"",0,1)</f>
        <v/>
      </c>
      <c r="F30" t="str">
        <f>_xlfn.XLOOKUP(B30,'Nuts&amp;Bolts'!N$3:N$8,'Nuts&amp;Bolts'!O$3:O$8,"",0,1)</f>
        <v/>
      </c>
      <c r="G30" t="str">
        <f>_xlfn.XLOOKUP(B30,'Nuts&amp;Bolts'!R$3:R$8,'Nuts&amp;Bolts'!S$3:S$8,"",0,1)</f>
        <v/>
      </c>
      <c r="H30" t="str">
        <f>_xlfn.XLOOKUP(B30,'Nuts&amp;Bolts'!V$3:V$9,'Nuts&amp;Bolts'!W$3:W$9,"",0,1)</f>
        <v/>
      </c>
      <c r="I30" t="str">
        <f>_xlfn.XLOOKUP(B30,'Nuts&amp;Bolts'!Z$3:Z$7,'Nuts&amp;Bolts'!AA$3:AA$7,"",0,1)</f>
        <v/>
      </c>
      <c r="J30">
        <f>_xlfn.XLOOKUP(B30,'Nuts&amp;Bolts'!AD$3:AD$7,'Nuts&amp;Bolts'!AE$3:AE$7,"",0,1)</f>
        <v>1</v>
      </c>
      <c r="K30" t="str">
        <f>_xlfn.XLOOKUP(B30,'Nuts&amp;Bolts'!AH$3:AH$7,'Nuts&amp;Bolts'!AI$3:AI$7,"",0,1)</f>
        <v/>
      </c>
      <c r="L30" t="str">
        <f>_xlfn.XLOOKUP(B30,'Nuts&amp;Bolts'!AL$3:AL$7,'Nuts&amp;Bolts'!AM$3:AM$7,"",0,1)</f>
        <v/>
      </c>
      <c r="M30">
        <f>_xlfn.XLOOKUP(B30,'Nuts&amp;Bolts'!B$21:B$32,'Nuts&amp;Bolts'!C$21:C$32,"",0,1)</f>
        <v>1</v>
      </c>
      <c r="N30">
        <f>_xlfn.XLOOKUP(B30,'Nuts&amp;Bolts'!F$19:F$22,'Nuts&amp;Bolts'!G$19:G$22,"",0,1)</f>
        <v>1</v>
      </c>
      <c r="O30" t="str">
        <f>_xlfn.XLOOKUP(B30,'Nuts&amp;Bolts'!J$19:J$26,'Nuts&amp;Bolts'!K$19:K$26,"",0,1)</f>
        <v/>
      </c>
      <c r="P30" t="str">
        <f>_xlfn.XLOOKUP(B30,'Nuts&amp;Bolts'!N$19:N$23,'Nuts&amp;Bolts'!O$19:O$23,"",0,1)</f>
        <v/>
      </c>
      <c r="Q30" t="str">
        <f>_xlfn.XLOOKUP(B30,'Nuts&amp;Bolts'!R$19:R$21,'Nuts&amp;Bolts'!S$19:S$21,"",0,1)</f>
        <v/>
      </c>
      <c r="R30" t="str">
        <f>_xlfn.XLOOKUP(B30,'Nuts&amp;Bolts'!V$19:V$22,'Nuts&amp;Bolts'!W$19:W$22,"",0,1)</f>
        <v/>
      </c>
      <c r="S30" t="str">
        <f>_xlfn.XLOOKUP(B30,'Nuts&amp;Bolts'!Z$19:Z$21,'Nuts&amp;Bolts'!AA$19:AA$21,"",0,1)</f>
        <v/>
      </c>
      <c r="T30" s="8" t="str">
        <f>_xlfn.XLOOKUP(B30,'Nuts&amp;Bolts'!AD$19:AD$24,'Nuts&amp;Bolts'!AE$19:AE$24,"",0,1)</f>
        <v/>
      </c>
    </row>
    <row r="31" spans="2:20" x14ac:dyDescent="0.2">
      <c r="B31" s="15" t="s">
        <v>62</v>
      </c>
      <c r="C31" s="16" t="str">
        <f>_xlfn.XLOOKUP(B31,'Nuts&amp;Bolts'!B$3:B$15,'Nuts&amp;Bolts'!C$3:C$15,"",0,1)</f>
        <v/>
      </c>
      <c r="D31" s="16" t="str">
        <f>_xlfn.XLOOKUP(B31,'Nuts&amp;Bolts'!F$3:F$5,'Nuts&amp;Bolts'!G$3:G$5,"",0,1)</f>
        <v/>
      </c>
      <c r="E31" s="16" t="str">
        <f>_xlfn.XLOOKUP(B31,'Nuts&amp;Bolts'!J$3:J$8,'Nuts&amp;Bolts'!K$3:K$8,"",0,1)</f>
        <v/>
      </c>
      <c r="F31" s="16" t="str">
        <f>_xlfn.XLOOKUP(B31,'Nuts&amp;Bolts'!N$3:N$8,'Nuts&amp;Bolts'!O$3:O$8,"",0,1)</f>
        <v/>
      </c>
      <c r="G31" s="16" t="str">
        <f>_xlfn.XLOOKUP(B31,'Nuts&amp;Bolts'!R$3:R$8,'Nuts&amp;Bolts'!S$3:S$8,"",0,1)</f>
        <v/>
      </c>
      <c r="H31" s="16" t="str">
        <f>_xlfn.XLOOKUP(B31,'Nuts&amp;Bolts'!V$3:V$9,'Nuts&amp;Bolts'!W$3:W$9,"",0,1)</f>
        <v/>
      </c>
      <c r="I31" s="16" t="str">
        <f>_xlfn.XLOOKUP(B31,'Nuts&amp;Bolts'!Z$3:Z$7,'Nuts&amp;Bolts'!AA$3:AA$7,"",0,1)</f>
        <v/>
      </c>
      <c r="J31" s="16" t="str">
        <f>_xlfn.XLOOKUP(B31,'Nuts&amp;Bolts'!AD$3:AD$7,'Nuts&amp;Bolts'!AE$3:AE$7,"",0,1)</f>
        <v/>
      </c>
      <c r="K31" s="16" t="str">
        <f>_xlfn.XLOOKUP(B31,'Nuts&amp;Bolts'!AH$3:AH$7,'Nuts&amp;Bolts'!AI$3:AI$7,"",0,1)</f>
        <v/>
      </c>
      <c r="L31" s="16" t="str">
        <f>_xlfn.XLOOKUP(B31,'Nuts&amp;Bolts'!AL$3:AL$7,'Nuts&amp;Bolts'!AM$3:AM$7,"",0,1)</f>
        <v/>
      </c>
      <c r="M31" s="16" t="str">
        <f>_xlfn.XLOOKUP(B31,'Nuts&amp;Bolts'!B$21:B$32,'Nuts&amp;Bolts'!C$21:C$32,"",0,1)</f>
        <v/>
      </c>
      <c r="N31" s="16" t="str">
        <f>_xlfn.XLOOKUP(B31,'Nuts&amp;Bolts'!F$19:F$22,'Nuts&amp;Bolts'!G$19:G$22,"",0,1)</f>
        <v/>
      </c>
      <c r="O31" s="16" t="str">
        <f>_xlfn.XLOOKUP(B31,'Nuts&amp;Bolts'!J$19:J$26,'Nuts&amp;Bolts'!K$19:K$26,"",0,1)</f>
        <v/>
      </c>
      <c r="P31" s="16" t="str">
        <f>_xlfn.XLOOKUP(B31,'Nuts&amp;Bolts'!N$19:N$23,'Nuts&amp;Bolts'!O$19:O$23,"",0,1)</f>
        <v/>
      </c>
      <c r="Q31" s="16" t="str">
        <f>_xlfn.XLOOKUP(B31,'Nuts&amp;Bolts'!R$19:R$21,'Nuts&amp;Bolts'!S$19:S$21,"",0,1)</f>
        <v/>
      </c>
      <c r="R31" s="16" t="str">
        <f>_xlfn.XLOOKUP(B31,'Nuts&amp;Bolts'!V$19:V$22,'Nuts&amp;Bolts'!W$19:W$22,"",0,1)</f>
        <v/>
      </c>
      <c r="S31" s="16" t="str">
        <f>_xlfn.XLOOKUP(B31,'Nuts&amp;Bolts'!Z$19:Z$21,'Nuts&amp;Bolts'!AA$19:AA$21,"",0,1)</f>
        <v/>
      </c>
      <c r="T31" s="17" t="str">
        <f>_xlfn.XLOOKUP(B31,'Nuts&amp;Bolts'!AD$19:AD$24,'Nuts&amp;Bolts'!AE$19:AE$24,"",0,1)</f>
        <v/>
      </c>
    </row>
    <row r="32" spans="2:20" x14ac:dyDescent="0.2">
      <c r="B32" s="2" t="s">
        <v>21</v>
      </c>
      <c r="C32">
        <f>_xlfn.XLOOKUP(B32,'Nuts&amp;Bolts'!B$3:B$15,'Nuts&amp;Bolts'!C$3:C$15,"",0,1)</f>
        <v>8</v>
      </c>
      <c r="D32" t="str">
        <f>_xlfn.XLOOKUP(B32,'Nuts&amp;Bolts'!F$3:F$5,'Nuts&amp;Bolts'!G$3:G$5,"",0,1)</f>
        <v/>
      </c>
      <c r="E32">
        <f>_xlfn.XLOOKUP(B32,'Nuts&amp;Bolts'!J$3:J$8,'Nuts&amp;Bolts'!K$3:K$8,"",0,1)</f>
        <v>10</v>
      </c>
      <c r="F32" t="str">
        <f>_xlfn.XLOOKUP(B32,'Nuts&amp;Bolts'!N$3:N$8,'Nuts&amp;Bolts'!O$3:O$8,"",0,1)</f>
        <v/>
      </c>
      <c r="G32">
        <f>_xlfn.XLOOKUP(B32,'Nuts&amp;Bolts'!R$3:R$8,'Nuts&amp;Bolts'!S$3:S$8,"",0,1)</f>
        <v>3</v>
      </c>
      <c r="H32">
        <f>_xlfn.XLOOKUP(B32,'Nuts&amp;Bolts'!V$3:V$9,'Nuts&amp;Bolts'!W$3:W$9,"",0,1)</f>
        <v>7</v>
      </c>
      <c r="I32" t="str">
        <f>_xlfn.XLOOKUP(B32,'Nuts&amp;Bolts'!Z$3:Z$7,'Nuts&amp;Bolts'!AA$3:AA$7,"",0,1)</f>
        <v/>
      </c>
      <c r="J32" t="str">
        <f>_xlfn.XLOOKUP(B32,'Nuts&amp;Bolts'!AD$3:AD$7,'Nuts&amp;Bolts'!AE$3:AE$7,"",0,1)</f>
        <v/>
      </c>
      <c r="K32" t="str">
        <f>_xlfn.XLOOKUP(B32,'Nuts&amp;Bolts'!AH$3:AH$7,'Nuts&amp;Bolts'!AI$3:AI$7,"",0,1)</f>
        <v/>
      </c>
      <c r="L32">
        <f>_xlfn.XLOOKUP(B32,'Nuts&amp;Bolts'!AL$3:AL$7,'Nuts&amp;Bolts'!AM$3:AM$7,"",0,1)</f>
        <v>4</v>
      </c>
      <c r="M32">
        <f>_xlfn.XLOOKUP(B32,'Nuts&amp;Bolts'!B$21:B$32,'Nuts&amp;Bolts'!C$21:C$32,"",0,1)</f>
        <v>2</v>
      </c>
      <c r="N32" t="str">
        <f>_xlfn.XLOOKUP(B32,'Nuts&amp;Bolts'!F$19:F$22,'Nuts&amp;Bolts'!G$19:G$22,"",0,1)</f>
        <v/>
      </c>
      <c r="O32">
        <f>_xlfn.XLOOKUP(B32,'Nuts&amp;Bolts'!J$19:J$26,'Nuts&amp;Bolts'!K$19:K$26,"",0,1)</f>
        <v>2</v>
      </c>
      <c r="P32" t="str">
        <f>_xlfn.XLOOKUP(B32,'Nuts&amp;Bolts'!N$19:N$23,'Nuts&amp;Bolts'!O$19:O$23,"",0,1)</f>
        <v/>
      </c>
      <c r="Q32" t="str">
        <f>_xlfn.XLOOKUP(B32,'Nuts&amp;Bolts'!R$19:R$21,'Nuts&amp;Bolts'!S$19:S$21,"",0,1)</f>
        <v/>
      </c>
      <c r="R32">
        <f>_xlfn.XLOOKUP(B32,'Nuts&amp;Bolts'!V$19:V$22,'Nuts&amp;Bolts'!W$19:W$22,"",0,1)</f>
        <v>4</v>
      </c>
      <c r="S32" t="str">
        <f>_xlfn.XLOOKUP(B32,'Nuts&amp;Bolts'!Z$19:Z$21,'Nuts&amp;Bolts'!AA$19:AA$21,"",0,1)</f>
        <v/>
      </c>
      <c r="T32" s="8">
        <f>_xlfn.XLOOKUP(B32,'Nuts&amp;Bolts'!AD$19:AD$24,'Nuts&amp;Bolts'!AE$19:AE$24,"",0,1)</f>
        <v>2</v>
      </c>
    </row>
    <row r="33" spans="2:20" x14ac:dyDescent="0.2">
      <c r="B33" s="2" t="s">
        <v>44</v>
      </c>
      <c r="C33" t="str">
        <f>_xlfn.XLOOKUP(B33,'Nuts&amp;Bolts'!B$3:B$15,'Nuts&amp;Bolts'!C$3:C$15,"",0,1)</f>
        <v/>
      </c>
      <c r="D33" t="str">
        <f>_xlfn.XLOOKUP(B33,'Nuts&amp;Bolts'!F$3:F$5,'Nuts&amp;Bolts'!G$3:G$5,"",0,1)</f>
        <v/>
      </c>
      <c r="E33" t="str">
        <f>_xlfn.XLOOKUP(B33,'Nuts&amp;Bolts'!J$3:J$8,'Nuts&amp;Bolts'!K$3:K$8,"",0,1)</f>
        <v/>
      </c>
      <c r="F33" t="str">
        <f>_xlfn.XLOOKUP(B33,'Nuts&amp;Bolts'!N$3:N$8,'Nuts&amp;Bolts'!O$3:O$8,"",0,1)</f>
        <v/>
      </c>
      <c r="G33" t="str">
        <f>_xlfn.XLOOKUP(B33,'Nuts&amp;Bolts'!R$3:R$8,'Nuts&amp;Bolts'!S$3:S$8,"",0,1)</f>
        <v/>
      </c>
      <c r="H33" t="str">
        <f>_xlfn.XLOOKUP(B33,'Nuts&amp;Bolts'!V$3:V$9,'Nuts&amp;Bolts'!W$3:W$9,"",0,1)</f>
        <v/>
      </c>
      <c r="I33" t="str">
        <f>_xlfn.XLOOKUP(B33,'Nuts&amp;Bolts'!Z$3:Z$7,'Nuts&amp;Bolts'!AA$3:AA$7,"",0,1)</f>
        <v/>
      </c>
      <c r="J33" t="str">
        <f>_xlfn.XLOOKUP(B33,'Nuts&amp;Bolts'!AD$3:AD$7,'Nuts&amp;Bolts'!AE$3:AE$7,"",0,1)</f>
        <v/>
      </c>
      <c r="K33" t="str">
        <f>_xlfn.XLOOKUP(B33,'Nuts&amp;Bolts'!AH$3:AH$7,'Nuts&amp;Bolts'!AI$3:AI$7,"",0,1)</f>
        <v/>
      </c>
      <c r="L33" t="str">
        <f>_xlfn.XLOOKUP(B33,'Nuts&amp;Bolts'!AL$3:AL$7,'Nuts&amp;Bolts'!AM$3:AM$7,"",0,1)</f>
        <v/>
      </c>
      <c r="M33">
        <f>_xlfn.XLOOKUP(B33,'Nuts&amp;Bolts'!B$21:B$32,'Nuts&amp;Bolts'!C$21:C$32,"",0,1)</f>
        <v>4</v>
      </c>
      <c r="N33" t="str">
        <f>_xlfn.XLOOKUP(B33,'Nuts&amp;Bolts'!F$19:F$22,'Nuts&amp;Bolts'!G$19:G$22,"",0,1)</f>
        <v/>
      </c>
      <c r="O33" t="str">
        <f>_xlfn.XLOOKUP(B33,'Nuts&amp;Bolts'!J$19:J$26,'Nuts&amp;Bolts'!K$19:K$26,"",0,1)</f>
        <v/>
      </c>
      <c r="P33" t="str">
        <f>_xlfn.XLOOKUP(B33,'Nuts&amp;Bolts'!N$19:N$23,'Nuts&amp;Bolts'!O$19:O$23,"",0,1)</f>
        <v/>
      </c>
      <c r="Q33" t="str">
        <f>_xlfn.XLOOKUP(B33,'Nuts&amp;Bolts'!R$19:R$21,'Nuts&amp;Bolts'!S$19:S$21,"",0,1)</f>
        <v/>
      </c>
      <c r="R33" t="str">
        <f>_xlfn.XLOOKUP(B33,'Nuts&amp;Bolts'!V$19:V$22,'Nuts&amp;Bolts'!W$19:W$22,"",0,1)</f>
        <v/>
      </c>
      <c r="S33" t="str">
        <f>_xlfn.XLOOKUP(B33,'Nuts&amp;Bolts'!Z$19:Z$21,'Nuts&amp;Bolts'!AA$19:AA$21,"",0,1)</f>
        <v/>
      </c>
      <c r="T33" s="8" t="str">
        <f>_xlfn.XLOOKUP(B33,'Nuts&amp;Bolts'!AD$19:AD$24,'Nuts&amp;Bolts'!AE$19:AE$24,"",0,1)</f>
        <v/>
      </c>
    </row>
    <row r="34" spans="2:20" x14ac:dyDescent="0.2">
      <c r="B34" s="3" t="s">
        <v>36</v>
      </c>
      <c r="C34" s="10" t="str">
        <f>_xlfn.XLOOKUP(B34,'Nuts&amp;Bolts'!B$3:B$15,'Nuts&amp;Bolts'!C$3:C$15,"",0,1)</f>
        <v/>
      </c>
      <c r="D34" s="10" t="str">
        <f>_xlfn.XLOOKUP(B34,'Nuts&amp;Bolts'!F$3:F$5,'Nuts&amp;Bolts'!G$3:G$5,"",0,1)</f>
        <v/>
      </c>
      <c r="E34" s="10" t="str">
        <f>_xlfn.XLOOKUP(B34,'Nuts&amp;Bolts'!J$3:J$8,'Nuts&amp;Bolts'!K$3:K$8,"",0,1)</f>
        <v/>
      </c>
      <c r="F34" s="10" t="str">
        <f>_xlfn.XLOOKUP(B34,'Nuts&amp;Bolts'!N$3:N$8,'Nuts&amp;Bolts'!O$3:O$8,"",0,1)</f>
        <v/>
      </c>
      <c r="G34" s="10" t="str">
        <f>_xlfn.XLOOKUP(B34,'Nuts&amp;Bolts'!R$3:R$8,'Nuts&amp;Bolts'!S$3:S$8,"",0,1)</f>
        <v/>
      </c>
      <c r="H34" s="10" t="str">
        <f>_xlfn.XLOOKUP(B34,'Nuts&amp;Bolts'!V$3:V$9,'Nuts&amp;Bolts'!W$3:W$9,"",0,1)</f>
        <v/>
      </c>
      <c r="I34" s="10" t="str">
        <f>_xlfn.XLOOKUP(B34,'Nuts&amp;Bolts'!Z$3:Z$7,'Nuts&amp;Bolts'!AA$3:AA$7,"",0,1)</f>
        <v/>
      </c>
      <c r="J34" s="10" t="str">
        <f>_xlfn.XLOOKUP(B34,'Nuts&amp;Bolts'!AD$3:AD$7,'Nuts&amp;Bolts'!AE$3:AE$7,"",0,1)</f>
        <v/>
      </c>
      <c r="K34" s="10" t="str">
        <f>_xlfn.XLOOKUP(B34,'Nuts&amp;Bolts'!AH$3:AH$7,'Nuts&amp;Bolts'!AI$3:AI$7,"",0,1)</f>
        <v/>
      </c>
      <c r="L34" s="10" t="str">
        <f>_xlfn.XLOOKUP(B34,'Nuts&amp;Bolts'!AL$3:AL$7,'Nuts&amp;Bolts'!AM$3:AM$7,"",0,1)</f>
        <v/>
      </c>
      <c r="M34" s="10" t="str">
        <f>_xlfn.XLOOKUP(B34,'Nuts&amp;Bolts'!B$21:B$32,'Nuts&amp;Bolts'!C$21:C$32,"",0,1)</f>
        <v/>
      </c>
      <c r="N34" s="10" t="str">
        <f>_xlfn.XLOOKUP(B34,'Nuts&amp;Bolts'!F$19:F$22,'Nuts&amp;Bolts'!G$19:G$22,"",0,1)</f>
        <v/>
      </c>
      <c r="O34" s="10" t="str">
        <f>_xlfn.XLOOKUP(B34,'Nuts&amp;Bolts'!J$19:J$26,'Nuts&amp;Bolts'!K$19:K$26,"",0,1)</f>
        <v/>
      </c>
      <c r="P34" s="10" t="str">
        <f>_xlfn.XLOOKUP(B34,'Nuts&amp;Bolts'!N$19:N$23,'Nuts&amp;Bolts'!O$19:O$23,"",0,1)</f>
        <v/>
      </c>
      <c r="Q34" s="10" t="str">
        <f>_xlfn.XLOOKUP(B34,'Nuts&amp;Bolts'!R$19:R$21,'Nuts&amp;Bolts'!S$19:S$21,"",0,1)</f>
        <v/>
      </c>
      <c r="R34" s="10" t="str">
        <f>_xlfn.XLOOKUP(B34,'Nuts&amp;Bolts'!V$19:V$22,'Nuts&amp;Bolts'!W$19:W$22,"",0,1)</f>
        <v/>
      </c>
      <c r="S34" s="10" t="str">
        <f>_xlfn.XLOOKUP(B34,'Nuts&amp;Bolts'!Z$19:Z$21,'Nuts&amp;Bolts'!AA$19:AA$21,"",0,1)</f>
        <v/>
      </c>
      <c r="T34" s="11" t="str">
        <f>_xlfn.XLOOKUP(B34,'Nuts&amp;Bolts'!AD$19:AD$24,'Nuts&amp;Bolts'!AE$19:AE$24,"",0,1)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Parts</vt:lpstr>
      <vt:lpstr>Nuts&amp;Bolts</vt:lpstr>
      <vt:lpstr>Nuts&amp;Bolts-List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Colin Bradburne</dc:creator>
  <cp:lastModifiedBy>Colin Bradburne</cp:lastModifiedBy>
  <dcterms:created xsi:type="dcterms:W3CDTF">2025-04-06T17:27:24Z</dcterms:created>
  <dcterms:modified xsi:type="dcterms:W3CDTF">2026-07-23T16:42:30Z</dcterms:modified>
</cp:coreProperties>
</file>