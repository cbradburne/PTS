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00" windowWidth="36000" windowHeight="22580" tabRatio="600" firstSheet="0" activeTab="2" autoFilterDateGrouping="1"/>
  </bookViews>
  <sheets>
    <sheet name="Parts" sheetId="1" state="visible" r:id="rId1"/>
    <sheet name="Nuts&amp;Bolts" sheetId="2" state="visible" r:id="rId2"/>
    <sheet name="Nuts&amp;Bolts-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color rgb="FF000000"/>
      <sz val="12"/>
    </font>
    <font>
      <name val="Helvetica Neue"/>
      <family val="2"/>
      <color theme="1"/>
      <sz val="12"/>
    </font>
    <font>
      <name val="Arial"/>
      <b val="1"/>
      <color rgb="FFFFFFFF"/>
      <sz val="11"/>
    </font>
    <font>
      <name val="Arial"/>
      <b val="1"/>
      <color rgb="FF1F3864"/>
      <sz val="10"/>
    </font>
    <font>
      <name val="Arial"/>
      <sz val="10"/>
    </font>
    <font>
      <name val="Arial"/>
      <color rgb="FF0563C1"/>
      <sz val="10"/>
      <u val="single"/>
    </font>
    <font>
      <name val="Arial"/>
      <b val="1"/>
      <color rgb="FFFFFFFF"/>
      <sz val="10"/>
    </font>
    <font>
      <name val="Arial"/>
      <b val="1"/>
      <sz val="10"/>
    </font>
    <font>
      <name val="Arial"/>
      <sz val="9"/>
    </font>
    <font>
      <name val="Arial"/>
      <b val="1"/>
      <color rgb="FF1F3864"/>
      <sz val="9"/>
    </font>
    <font>
      <name val="Arial"/>
      <family val="2"/>
      <sz val="10"/>
    </font>
    <font>
      <name val="Arial"/>
      <family val="2"/>
      <b val="1"/>
      <color rgb="FF1F3864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0563C1"/>
      <sz val="10"/>
      <u val="single"/>
    </font>
    <font>
      <name val="Arial"/>
      <color rgb="00808080"/>
      <sz val="10"/>
    </font>
  </fonts>
  <fills count="8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1" fillId="2" borderId="3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6" pivotButton="0" quotePrefix="0" xfId="0"/>
    <xf numFmtId="0" fontId="3" fillId="0" borderId="2" pivotButton="0" quotePrefix="0" xfId="0"/>
    <xf numFmtId="0" fontId="2" fillId="0" borderId="4" pivotButton="0" quotePrefix="0" xfId="0"/>
    <xf numFmtId="0" fontId="2" fillId="0" borderId="6" pivotButton="0" quotePrefix="0" xfId="0"/>
    <xf numFmtId="0" fontId="3" fillId="0" borderId="10" pivotButton="0" quotePrefix="0" xfId="0"/>
    <xf numFmtId="0" fontId="4" fillId="3" borderId="12" applyAlignment="1" pivotButton="0" quotePrefix="0" xfId="0">
      <alignment horizontal="left" vertical="center"/>
    </xf>
    <xf numFmtId="0" fontId="4" fillId="3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11" fillId="0" borderId="0" pivotButton="0" quotePrefix="0" xfId="0"/>
    <xf numFmtId="0" fontId="10" fillId="0" borderId="1" pivotButton="0" quotePrefix="0" xfId="0"/>
    <xf numFmtId="0" fontId="10" fillId="0" borderId="7" pivotButton="0" quotePrefix="0" xfId="0"/>
    <xf numFmtId="0" fontId="10" fillId="0" borderId="2" pivotButton="0" quotePrefix="0" xfId="0"/>
    <xf numFmtId="0" fontId="10" fillId="0" borderId="11" pivotButton="0" quotePrefix="0" xfId="0"/>
    <xf numFmtId="0" fontId="10" fillId="0" borderId="9" pivotButton="0" quotePrefix="0" xfId="0"/>
    <xf numFmtId="0" fontId="10" fillId="0" borderId="3" pivotButton="0" quotePrefix="0" xfId="0"/>
    <xf numFmtId="0" fontId="10" fillId="0" borderId="0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8" pivotButton="0" quotePrefix="0" xfId="0"/>
    <xf numFmtId="0" fontId="10" fillId="0" borderId="6" pivotButton="0" quotePrefix="0" xfId="0"/>
    <xf numFmtId="0" fontId="8" fillId="3" borderId="12" applyAlignment="1" pivotButton="0" quotePrefix="0" xfId="0">
      <alignment horizontal="center" wrapText="1"/>
    </xf>
    <xf numFmtId="0" fontId="9" fillId="0" borderId="12" applyAlignment="1" pivotButton="0" quotePrefix="0" xfId="0">
      <alignment horizontal="left" vertical="center"/>
    </xf>
    <xf numFmtId="0" fontId="9" fillId="5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2" fillId="0" borderId="12" applyAlignment="1" pivotButton="0" quotePrefix="0" xfId="0">
      <alignment horizontal="left" vertical="center"/>
    </xf>
    <xf numFmtId="0" fontId="13" fillId="0" borderId="0" pivotButton="0" quotePrefix="0" xfId="0"/>
    <xf numFmtId="0" fontId="14" fillId="0" borderId="3" pivotButton="0" quotePrefix="0" xfId="0"/>
    <xf numFmtId="0" fontId="14" fillId="0" borderId="1" pivotButton="0" quotePrefix="0" xfId="0"/>
    <xf numFmtId="0" fontId="1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4" fillId="0" borderId="5" pivotButton="0" quotePrefix="0" xfId="0"/>
    <xf numFmtId="0" fontId="15" fillId="3" borderId="12" applyAlignment="1" pivotButton="0" quotePrefix="0" xfId="0">
      <alignment horizontal="center" wrapText="1"/>
    </xf>
    <xf numFmtId="0" fontId="16" fillId="0" borderId="12" applyAlignment="1" pivotButton="0" quotePrefix="0" xfId="0">
      <alignment horizontal="left" vertical="center"/>
    </xf>
    <xf numFmtId="0" fontId="17" fillId="6" borderId="17" applyAlignment="1" pivotButton="0" quotePrefix="0" xfId="0">
      <alignment horizontal="left" vertical="center"/>
    </xf>
    <xf numFmtId="0" fontId="17" fillId="6" borderId="17" applyAlignment="1" pivotButton="0" quotePrefix="0" xfId="0">
      <alignment horizontal="center" vertical="center"/>
    </xf>
    <xf numFmtId="0" fontId="18" fillId="7" borderId="17" applyAlignment="1" pivotButton="0" quotePrefix="0" xfId="0">
      <alignment horizontal="left" vertical="center"/>
    </xf>
    <xf numFmtId="0" fontId="0" fillId="7" borderId="17" pivotButton="0" quotePrefix="0" xfId="0"/>
    <xf numFmtId="0" fontId="6" fillId="0" borderId="17" applyAlignment="1" pivotButton="0" quotePrefix="0" xfId="0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19" fillId="0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BCTSKYQZ?ref=ppx_yo2ov_dt_b_fed_asin_title" TargetMode="External" Id="rId1" /><Relationship Type="http://schemas.openxmlformats.org/officeDocument/2006/relationships/hyperlink" Target="https://www.amazon.co.uk/dp/B07WC71M4R?ref=ppx_yo2ov_dt_b_fed_asin_title&amp;th=1" TargetMode="External" Id="rId2" /><Relationship Type="http://schemas.openxmlformats.org/officeDocument/2006/relationships/hyperlink" Target="https://www.amazon.co.uk/dp/B09Z2BM94R?ref_=ppx_hzsearch_conn_dt_b_fed_asin_title_1" TargetMode="External" Id="rId3" /><Relationship Type="http://schemas.openxmlformats.org/officeDocument/2006/relationships/hyperlink" Target="https://www.amazon.co.uk/sourcing-map-Rectifier-Electronic-Industrial/dp/B0FZFSXY79/" TargetMode="External" Id="rId4" /><Relationship Type="http://schemas.openxmlformats.org/officeDocument/2006/relationships/hyperlink" Target="https://www.amazon.co.uk/dp/B08MZ1BSN6?ref_=ppx_hzsearch_conn_dt_b_fed_asin_title_3" TargetMode="External" Id="rId5" /><Relationship Type="http://schemas.openxmlformats.org/officeDocument/2006/relationships/hyperlink" Target="https://www.amazon.co.uk/dp/B0CL6XM7RD/" TargetMode="External" Id="rId6" /><Relationship Type="http://schemas.openxmlformats.org/officeDocument/2006/relationships/hyperlink" Target="https://www.amazon.co.uk/dp/B0CL6TJZPC/" TargetMode="External" Id="rId7" /><Relationship Type="http://schemas.openxmlformats.org/officeDocument/2006/relationships/hyperlink" Target="https://www.amazon.co.uk/sourcing-map-Connectors-Connector-Electronic/dp/B0G8YZSX2B/" TargetMode="External" Id="rId8" /><Relationship Type="http://schemas.openxmlformats.org/officeDocument/2006/relationships/hyperlink" Target="https://www.amazon.co.uk/dp/B09LCRCTQG?ref_=ppx_hzsearch_conn_dt_b_fed_asin_title_5" TargetMode="External" Id="rId9" /><Relationship Type="http://schemas.openxmlformats.org/officeDocument/2006/relationships/hyperlink" Target="https://www.amazon.co.uk/dp/B0CBWZBB63?ref_=ppx_hzsearch_conn_dt_b_fed_asin_title_3&amp;th=1" TargetMode="External" Id="rId10" /><Relationship Type="http://schemas.openxmlformats.org/officeDocument/2006/relationships/hyperlink" Target="https://www.amazon.co.uk/dp/B0CBWZLB5C?ref_=ppx_hzsearch_conn_dt_b_fed_asin_title_1&amp;th=1" TargetMode="External" Id="rId11" /><Relationship Type="http://schemas.openxmlformats.org/officeDocument/2006/relationships/hyperlink" Target="https://www.amazon.co.uk/dp/B00R1JDS1Q?ref=ppx_yo2ov_dt_b_fed_asin_title" TargetMode="External" Id="rId12" /><Relationship Type="http://schemas.openxmlformats.org/officeDocument/2006/relationships/hyperlink" Target="https://www.amazon.co.uk/dp/B0GZZXN23M/" TargetMode="External" Id="rId13" /><Relationship Type="http://schemas.openxmlformats.org/officeDocument/2006/relationships/hyperlink" Target="https://simplybearings.co.uk/shop/p170416/6824ZZ-Budget-Metal-Shielded-Thin-Section-Deep-Groove-Ball-Bearing-120x150x16mm/product_info.html" TargetMode="External" Id="rId14" /><Relationship Type="http://schemas.openxmlformats.org/officeDocument/2006/relationships/hyperlink" Target="https://www.amazon.co.uk/dp/B0CRLSHL1N?ref_=ppx_hzsearch_conn_dt_b_fed_asin_title_1&amp;th=1" TargetMode="External" Id="rId15" /><Relationship Type="http://schemas.openxmlformats.org/officeDocument/2006/relationships/hyperlink" Target="https://www.amazon.co.uk/dp/B09DS9PJ55?ref_=ppx_hzsearch_conn_dt_b_fed_asin_title_6&amp;th=1" TargetMode="External" Id="rId16" /><Relationship Type="http://schemas.openxmlformats.org/officeDocument/2006/relationships/hyperlink" Target="https://www.amazon.co.uk/dp/B07X8776QQ?ref_=ppx_hzsearch_conn_dt_b_fed_asin_title_4" TargetMode="External" Id="rId17" /><Relationship Type="http://schemas.openxmlformats.org/officeDocument/2006/relationships/hyperlink" Target="https://www.amazon.co.uk/dp/B07SX1N19C/?th=1" TargetMode="External" Id="rId18" /><Relationship Type="http://schemas.openxmlformats.org/officeDocument/2006/relationships/hyperlink" Target="https://www.amazon.co.uk/dp/B07RCZPRG9?ref_=ppx_hzsearch_conn_dt_b_fed_asin_title_5" TargetMode="External" Id="rId19" /><Relationship Type="http://schemas.openxmlformats.org/officeDocument/2006/relationships/hyperlink" Target="https://www.amazon.co.uk/sourcing-map-Timing-Printing-Closed/dp/B0GVKNPKQV/?th=1" TargetMode="External" Id="rId20" /><Relationship Type="http://schemas.openxmlformats.org/officeDocument/2006/relationships/hyperlink" Target="https://www.amazon.co.uk/dp/B00W98OYE4?ref_=ppx_hzsearch_conn_dt_b_fed_asin_title_2" TargetMode="External" Id="rId21" /><Relationship Type="http://schemas.openxmlformats.org/officeDocument/2006/relationships/hyperlink" Target="https://www.amazon.co.uk/dp/B0B9RVCDTJ?ref_=ppx_hzsearch_conn_dt_b_fed_asin_title_3" TargetMode="External" Id="rId22" /><Relationship Type="http://schemas.openxmlformats.org/officeDocument/2006/relationships/hyperlink" Target="https://www.amazon.co.uk/dp/B0DX5PVGJ9?ref_=ppx_hzsearch_conn_dt_b_fed_asin_title_1&amp;th=1" TargetMode="External" Id="rId23" /><Relationship Type="http://schemas.openxmlformats.org/officeDocument/2006/relationships/hyperlink" Target="https://www.amazon.co.uk/dp/B0F7XTJ1ZL?ref=ppx_yo2ov_dt_b_fed_asin_title" TargetMode="External" Id="rId24" /><Relationship Type="http://schemas.openxmlformats.org/officeDocument/2006/relationships/hyperlink" Target="https://www.amazon.co.uk/dp/B0GQRJJPFN?ref=ppx_yo2ov_dt_b_fed_asin_title&amp;th=1" TargetMode="External" Id="rId25" /><Relationship Type="http://schemas.openxmlformats.org/officeDocument/2006/relationships/hyperlink" Target="https://www.amazon.co.uk/dp/B0DTHJ1FS2?ref=ppx_yo2ov_dt_b_fed_asin_title" TargetMode="External" Id="rId26" /><Relationship Type="http://schemas.openxmlformats.org/officeDocument/2006/relationships/hyperlink" Target="https://www.amazon.co.uk/dp/B0B9RXM7TB?ref=ppx_yo2ov_dt_b_fed_asin_title&amp;th=1" TargetMode="External" Id="rId27" /><Relationship Type="http://schemas.openxmlformats.org/officeDocument/2006/relationships/hyperlink" Target="https://www.amazon.co.uk/dp/B0B1F7NMJ5/" TargetMode="External" Id="rId28" /><Relationship Type="http://schemas.openxmlformats.org/officeDocument/2006/relationships/hyperlink" Target="https://www.amazon.co.uk/dp/B07Z8YS2Z7?ref_=ppx_hzsearch_conn_dt_b_fed_asin_title_1&amp;th=1" TargetMode="External" Id="rId29" /><Relationship Type="http://schemas.openxmlformats.org/officeDocument/2006/relationships/hyperlink" Target="https://www.amazon.co.uk/dp/B09L4XKVQ5/" TargetMode="External" Id="rId30" /><Relationship Type="http://schemas.openxmlformats.org/officeDocument/2006/relationships/hyperlink" Target="https://www.amazon.co.uk/dp/B0FSCXSPCB?ref_=ppx_hzsearch_conn_dt_b_fed_asin_title_1&amp;th=1" TargetMode="External" Id="rId31" /><Relationship Type="http://schemas.openxmlformats.org/officeDocument/2006/relationships/hyperlink" Target="https://www.amazon.co.uk/dp/B07Y9GPG8X/" TargetMode="External" Id="rId32" /><Relationship Type="http://schemas.openxmlformats.org/officeDocument/2006/relationships/hyperlink" Target="https://www.thomann.co.uk/blackmagic_design_mc_bidirect._sdi_hdmi_3g.htm" TargetMode="External" Id="rId33" /><Relationship Type="http://schemas.openxmlformats.org/officeDocument/2006/relationships/hyperlink" Target="https://www.amazon.co.uk/dp/B0FSCXSPCB?ref_=ppx_hzsearch_conn_dt_b_fed_asin_title_1&amp;th=1" TargetMode="External" Id="rId34" /><Relationship Type="http://schemas.openxmlformats.org/officeDocument/2006/relationships/hyperlink" Target="https://www.amazon.co.uk/gp/product/B0CZ3TBTJM/" TargetMode="External" Id="rId35" /><Relationship Type="http://schemas.openxmlformats.org/officeDocument/2006/relationships/hyperlink" Target="https://www.amazon.co.uk/dp/B07PLSDPYN/" TargetMode="External" Id="rId36" /><Relationship Type="http://schemas.openxmlformats.org/officeDocument/2006/relationships/hyperlink" Target="https://ooznest.co.uk/product/40x80mm-c-beam-t-v-slot-aluminium-extrusion-profile-silver-cut-to-size/?mtke=11" TargetMode="External" Id="rId37" /><Relationship Type="http://schemas.openxmlformats.org/officeDocument/2006/relationships/hyperlink" Target="https://www.amazon.co.uk/dp/B07X8776QQ?ref_=ppx_hzsearch_conn_dt_b_fed_asin_title_4" TargetMode="External" Id="rId38" /><Relationship Type="http://schemas.openxmlformats.org/officeDocument/2006/relationships/hyperlink" Target="https://www.amazon.co.uk/dp/B08SJ5X2HZ?ref_=ppx_hzsearch_conn_dt_b_fed_asin_title_9&amp;th=1" TargetMode="External" Id="rId39" /><Relationship Type="http://schemas.openxmlformats.org/officeDocument/2006/relationships/hyperlink" Target="https://www.amazon.co.uk/dp/B0CD25SZNR?ref_=ppx_hzsearch_conn_dt_b_fed_asin_title_1&amp;th=1" TargetMode="External" Id="rId40" /><Relationship Type="http://schemas.openxmlformats.org/officeDocument/2006/relationships/hyperlink" Target="https://www.amazon.co.uk/dp/B00PNEQUZ2?ref_=ppx_hzsearch_conn_dt_b_fed_asin_title_1" TargetMode="External" Id="rId41" /><Relationship Type="http://schemas.openxmlformats.org/officeDocument/2006/relationships/hyperlink" Target="https://www.amazon.co.uk/sourcing-map-Printer-Rollers-High-Speed/dp/B0DNCP6TRB/" TargetMode="External" Id="rId42" /><Relationship Type="http://schemas.openxmlformats.org/officeDocument/2006/relationships/hyperlink" Target="https://www.amazon.co.uk/dp/B085HF31K7?ref_=ppx_hzsearch_conn_dt_b_fed_asin_title_1" TargetMode="External" Id="rId43" /><Relationship Type="http://schemas.openxmlformats.org/officeDocument/2006/relationships/hyperlink" Target="https://www.amazon.co.uk/dp/B0DX5PVGJ9?ref_=ppx_hzsearch_conn_dt_b_fed_asin_title_1&amp;th=1" TargetMode="External" Id="rId44" /><Relationship Type="http://schemas.openxmlformats.org/officeDocument/2006/relationships/hyperlink" Target="https://www.amazon.co.uk/dp/B0DX6CD9LN?ref_=ppx_hzsearch_conn_dt_b_fed_asin_title_1&amp;th=1" TargetMode="External" Id="rId45" /><Relationship Type="http://schemas.openxmlformats.org/officeDocument/2006/relationships/hyperlink" Target="https://www.amazon.co.uk/dp/B0B1F7NMJ5/" TargetMode="External" Id="rId46" /><Relationship Type="http://schemas.openxmlformats.org/officeDocument/2006/relationships/hyperlink" Target="https://www.amazon.co.uk/dp/B07Z8YS2Z7?ref_=ppx_hzsearch_conn_dt_b_fed_asin_title_1&amp;th=1" TargetMode="External" Id="rId47" /><Relationship Type="http://schemas.openxmlformats.org/officeDocument/2006/relationships/hyperlink" Target="https://www.amazon.co.uk/dp/B09ZRTQXXT/?th=1" TargetMode="External" Id="rId48" /><Relationship Type="http://schemas.openxmlformats.org/officeDocument/2006/relationships/hyperlink" Target="https://www.amazon.co.uk/dp/B0FSCXSPCB?ref_=ppx_hzsearch_conn_dt_b_fed_asin_title_1&amp;th=1" TargetMode="External" Id="rId49" /><Relationship Type="http://schemas.openxmlformats.org/officeDocument/2006/relationships/hyperlink" Target="https://www.amazon.co.uk/dp/B07VRBYT1N/" TargetMode="External" Id="rId50" /><Relationship Type="http://schemas.openxmlformats.org/officeDocument/2006/relationships/hyperlink" Target="https://www.amazon.co.uk/dp/B0FSCXSPCB?ref_=ppx_hzsearch_conn_dt_b_fed_asin_title_1&amp;th=1" TargetMode="External" Id="rId51" /><Relationship Type="http://schemas.openxmlformats.org/officeDocument/2006/relationships/hyperlink" Target="https://www.amazon.co.uk/dp/B07VRBYT1N/" TargetMode="External" Id="rId52" /><Relationship Type="http://schemas.openxmlformats.org/officeDocument/2006/relationships/hyperlink" Target="https://www.amazon.co.uk/dp/B0BYSB66S5?ref=ppx_yo2ov_dt_b_fed_asin_title&amp;th=1" TargetMode="External" Id="rId53" /><Relationship Type="http://schemas.openxmlformats.org/officeDocument/2006/relationships/hyperlink" Target="https://www.amazon.co.uk/dp/B0D2NMCY7K/" TargetMode="External" Id="rId54" /><Relationship Type="http://schemas.openxmlformats.org/officeDocument/2006/relationships/hyperlink" Target="https://www.amazon.co.uk/dp/B0DTHJ1FS2?ref=ppx_yo2ov_dt_b_fed_asin_title" TargetMode="External" Id="rId55" /><Relationship Type="http://schemas.openxmlformats.org/officeDocument/2006/relationships/hyperlink" Target="https://www.amazon.co.uk/dp/B0B9RXM7TB?ref=ppx_yo2ov_dt_b_fed_asin_title&amp;th=1" TargetMode="External" Id="rId56" /><Relationship Type="http://schemas.openxmlformats.org/officeDocument/2006/relationships/hyperlink" Target="https://www.amazon.co.uk/dp/B075R7QBQD/?th=1" TargetMode="External" Id="rId57" /><Relationship Type="http://schemas.openxmlformats.org/officeDocument/2006/relationships/hyperlink" Target="https://www.amazon.co.uk/dp/B0792Y2X4K/" TargetMode="External" Id="rId58" /><Relationship Type="http://schemas.openxmlformats.org/officeDocument/2006/relationships/hyperlink" Target="https://www.amazon.co.uk/dp/B0CP6XLLX8/" TargetMode="External" Id="rId59" /><Relationship Type="http://schemas.openxmlformats.org/officeDocument/2006/relationships/hyperlink" Target="https://www.amazon.co.uk/dp/B0CFQ2BMPZ?ref=ppx_yo2ov_dt_b_fed_asin_title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8" customWidth="1" min="2" max="2"/>
    <col width="16" customWidth="1" min="3" max="3"/>
  </cols>
  <sheetData>
    <row r="1">
      <c r="A1" s="46" t="inlineStr">
        <is>
          <t>Item</t>
        </is>
      </c>
      <c r="B1" s="47" t="inlineStr">
        <is>
          <t>Qty</t>
        </is>
      </c>
      <c r="C1" s="47" t="inlineStr">
        <is>
          <t>Buy</t>
        </is>
      </c>
    </row>
    <row r="2">
      <c r="A2" s="48" t="inlineStr">
        <is>
          <t>Circuit</t>
        </is>
      </c>
      <c r="B2" s="54" t="n"/>
      <c r="C2" s="55" t="n"/>
    </row>
    <row r="3">
      <c r="A3" s="50" t="inlineStr">
        <is>
          <t>Teensy 4.1</t>
        </is>
      </c>
      <c r="B3" s="51" t="n">
        <v>1</v>
      </c>
      <c r="C3" s="52" t="inlineStr">
        <is>
          <t>Amazon</t>
        </is>
      </c>
    </row>
    <row r="4">
      <c r="A4" s="50" t="inlineStr">
        <is>
          <t>TMC2209</t>
        </is>
      </c>
      <c r="B4" s="51" t="n">
        <v>4</v>
      </c>
      <c r="C4" s="52" t="inlineStr">
        <is>
          <t>Amazon</t>
        </is>
      </c>
    </row>
    <row r="5">
      <c r="A5" s="50" t="inlineStr">
        <is>
          <t>5V regulator</t>
        </is>
      </c>
      <c r="B5" s="51" t="n">
        <v>1</v>
      </c>
      <c r="C5" s="52" t="inlineStr">
        <is>
          <t>Amazon</t>
        </is>
      </c>
    </row>
    <row r="6">
      <c r="A6" s="50" t="inlineStr">
        <is>
          <t>1n4007</t>
        </is>
      </c>
      <c r="B6" s="51" t="n">
        <v>2</v>
      </c>
      <c r="C6" s="52" t="inlineStr">
        <is>
          <t>Amazon</t>
        </is>
      </c>
    </row>
    <row r="7">
      <c r="A7" s="50" t="inlineStr">
        <is>
          <t>100nf 35v</t>
        </is>
      </c>
      <c r="B7" s="51" t="n">
        <v>6</v>
      </c>
      <c r="C7" s="52" t="inlineStr">
        <is>
          <t>Amazon</t>
        </is>
      </c>
    </row>
    <row r="8">
      <c r="A8" s="50" t="inlineStr">
        <is>
          <t>1K ¼W</t>
        </is>
      </c>
      <c r="B8" s="51" t="n">
        <v>4</v>
      </c>
      <c r="C8" s="52" t="inlineStr">
        <is>
          <t>Amazon</t>
        </is>
      </c>
    </row>
    <row r="9">
      <c r="A9" s="50" t="inlineStr">
        <is>
          <t>100K ¼W</t>
        </is>
      </c>
      <c r="B9" s="51" t="n">
        <v>1</v>
      </c>
      <c r="C9" s="52" t="inlineStr">
        <is>
          <t>Amazon</t>
        </is>
      </c>
    </row>
    <row r="10">
      <c r="A10" s="50" t="inlineStr">
        <is>
          <t>Screw PCB terminals 5.08mm 2pin</t>
        </is>
      </c>
      <c r="B10" s="51" t="n">
        <v>1</v>
      </c>
      <c r="C10" s="52" t="inlineStr">
        <is>
          <t>Amazon</t>
        </is>
      </c>
    </row>
    <row r="11">
      <c r="A11" s="50" t="inlineStr">
        <is>
          <t>JST 4pin Plug + Lead + Socket</t>
        </is>
      </c>
      <c r="B11" s="51" t="n">
        <v>6</v>
      </c>
      <c r="C11" s="52" t="inlineStr">
        <is>
          <t>Amazon</t>
        </is>
      </c>
    </row>
    <row r="12">
      <c r="A12" s="50" t="inlineStr">
        <is>
          <t>JST 5pin Plug + Lead + Socket</t>
        </is>
      </c>
      <c r="B12" s="51" t="n">
        <v>1</v>
      </c>
      <c r="C12" s="52" t="inlineStr">
        <is>
          <t>Amazon</t>
        </is>
      </c>
    </row>
    <row r="13">
      <c r="A13" s="50" t="inlineStr">
        <is>
          <t>JST 2pin Plug + Lead + Socket</t>
        </is>
      </c>
      <c r="B13" s="51" t="n">
        <v>2</v>
      </c>
      <c r="C13" s="52" t="inlineStr">
        <is>
          <t>Amazon</t>
        </is>
      </c>
    </row>
    <row r="14">
      <c r="A14" s="50" t="inlineStr">
        <is>
          <t>Header Sockets</t>
        </is>
      </c>
      <c r="B14" s="51" t="inlineStr">
        <is>
          <t>Pack</t>
        </is>
      </c>
      <c r="C14" s="52" t="inlineStr">
        <is>
          <t>Amazon</t>
        </is>
      </c>
    </row>
    <row r="15">
      <c r="A15" s="50" t="inlineStr">
        <is>
          <t>Header Pins</t>
        </is>
      </c>
      <c r="B15" s="51" t="inlineStr">
        <is>
          <t>Pack</t>
        </is>
      </c>
      <c r="C15" s="52" t="inlineStr">
        <is>
          <t>Amazon</t>
        </is>
      </c>
    </row>
    <row r="16">
      <c r="A16" s="48" t="inlineStr">
        <is>
          <t>Mount</t>
        </is>
      </c>
      <c r="B16" s="54" t="n"/>
      <c r="C16" s="55" t="n"/>
    </row>
    <row r="17">
      <c r="A17" s="50" t="inlineStr">
        <is>
          <t>6824ZZ 120x150x16mm Bearing</t>
        </is>
      </c>
      <c r="B17" s="51" t="n">
        <v>1</v>
      </c>
      <c r="C17" s="52" t="inlineStr">
        <is>
          <t>Simply Bearings</t>
        </is>
      </c>
    </row>
    <row r="18">
      <c r="A18" s="50" t="inlineStr">
        <is>
          <t>F688ZZ Flanged Bearing 8 x 16 x 5mm</t>
        </is>
      </c>
      <c r="B18" s="51" t="n">
        <v>4</v>
      </c>
      <c r="C18" s="52" t="inlineStr">
        <is>
          <t>Amazon</t>
        </is>
      </c>
    </row>
    <row r="19">
      <c r="A19" s="50" t="inlineStr">
        <is>
          <t>GT2 Pulley - 120 tooth, 8mm bore</t>
        </is>
      </c>
      <c r="B19" s="51" t="n">
        <v>1</v>
      </c>
      <c r="C19" s="52" t="inlineStr">
        <is>
          <t>Amazon</t>
        </is>
      </c>
    </row>
    <row r="20">
      <c r="A20" s="50" t="inlineStr">
        <is>
          <t>GT2 Pulley - 36 tooth, 5mm bore</t>
        </is>
      </c>
      <c r="B20" s="51" t="n">
        <v>1</v>
      </c>
      <c r="C20" s="52" t="inlineStr">
        <is>
          <t>Amazon</t>
        </is>
      </c>
    </row>
    <row r="21">
      <c r="A21" s="50" t="inlineStr">
        <is>
          <t>GT2 Pulley - 16 tooth, 5mm bore</t>
        </is>
      </c>
      <c r="B21" s="51" t="n">
        <v>1</v>
      </c>
      <c r="C21" s="52" t="inlineStr">
        <is>
          <t>Amazon</t>
        </is>
      </c>
    </row>
    <row r="22">
      <c r="A22" s="50" t="inlineStr">
        <is>
          <t>GT2 Belt - 580mm loop, 6mm wide</t>
        </is>
      </c>
      <c r="B22" s="51" t="n">
        <v>1</v>
      </c>
      <c r="C22" s="52" t="inlineStr">
        <is>
          <t>Amazon</t>
        </is>
      </c>
    </row>
    <row r="23">
      <c r="A23" s="50" t="inlineStr">
        <is>
          <t>GT2 Belt - 350mm loop, 6mm wide</t>
        </is>
      </c>
      <c r="B23" s="51" t="n">
        <v>1</v>
      </c>
      <c r="C23" s="52" t="inlineStr">
        <is>
          <t>Amazon</t>
        </is>
      </c>
    </row>
    <row r="24">
      <c r="A24" s="50" t="inlineStr">
        <is>
          <t>Nema14 0.9 deg 36Ncm</t>
        </is>
      </c>
      <c r="B24" s="51" t="n">
        <v>2</v>
      </c>
      <c r="C24" s="52" t="inlineStr">
        <is>
          <t>Amazon</t>
        </is>
      </c>
    </row>
    <row r="25">
      <c r="A25" s="50" t="inlineStr">
        <is>
          <t>Nema14 Round Pancake Stepper Motor 0.9 deg</t>
        </is>
      </c>
      <c r="B25" s="51" t="n">
        <v>1</v>
      </c>
      <c r="C25" s="52" t="inlineStr">
        <is>
          <t>Amazon</t>
        </is>
      </c>
    </row>
    <row r="26">
      <c r="A26" s="50" t="inlineStr">
        <is>
          <t>GX12 2 Pin Aviation Connector &amp; Panel Socket</t>
        </is>
      </c>
      <c r="B26" s="51" t="n">
        <v>1</v>
      </c>
      <c r="C26" s="52" t="inlineStr">
        <is>
          <t>Amazon</t>
        </is>
      </c>
    </row>
    <row r="27">
      <c r="A27" s="50" t="inlineStr">
        <is>
          <t>Waveshare ESP32-S3 1.75inch AMOLED Round Touch Display</t>
        </is>
      </c>
      <c r="B27" s="51" t="n">
        <v>1</v>
      </c>
      <c r="C27" s="52" t="inlineStr">
        <is>
          <t>Amazon</t>
        </is>
      </c>
    </row>
    <row r="28">
      <c r="A28" s="50" t="inlineStr">
        <is>
          <t>Sticky Pads Heavy Duty 40x40mm</t>
        </is>
      </c>
      <c r="B28" s="51" t="n">
        <v>1</v>
      </c>
      <c r="C28" s="52" t="inlineStr">
        <is>
          <t>Amazon</t>
        </is>
      </c>
    </row>
    <row r="29">
      <c r="A29" s="50" t="inlineStr">
        <is>
          <t>2.4GHz Antenna</t>
        </is>
      </c>
      <c r="B29" s="51" t="n">
        <v>1</v>
      </c>
      <c r="C29" s="52" t="inlineStr">
        <is>
          <t>Amazon</t>
        </is>
      </c>
    </row>
    <row r="30">
      <c r="A30" s="50" t="inlineStr">
        <is>
          <t>U.FL Mini PCI to SMA Female 20cm Lead</t>
        </is>
      </c>
      <c r="B30" s="51" t="n">
        <v>1</v>
      </c>
      <c r="C30" s="52" t="inlineStr">
        <is>
          <t>Amazon</t>
        </is>
      </c>
    </row>
    <row r="31">
      <c r="A31" s="50" t="inlineStr">
        <is>
          <t>1/4 UNC Insert</t>
        </is>
      </c>
      <c r="B31" s="51" t="n">
        <v>1</v>
      </c>
      <c r="C31" s="52" t="inlineStr">
        <is>
          <t>Amazon</t>
        </is>
      </c>
    </row>
    <row r="32">
      <c r="A32" s="48" t="inlineStr">
        <is>
          <t>Mount - HDMI</t>
        </is>
      </c>
      <c r="B32" s="54" t="n"/>
      <c r="C32" s="55" t="n"/>
    </row>
    <row r="33">
      <c r="A33" s="50" t="inlineStr">
        <is>
          <t>HDMI Keystone coupler</t>
        </is>
      </c>
      <c r="B33" s="51" t="n">
        <v>1</v>
      </c>
      <c r="C33" s="52" t="inlineStr">
        <is>
          <t>Amazon</t>
        </is>
      </c>
    </row>
    <row r="34">
      <c r="A34" s="50" t="inlineStr">
        <is>
          <t>HDMI Cable - 1m</t>
        </is>
      </c>
      <c r="B34" s="51" t="n">
        <v>1</v>
      </c>
      <c r="C34" s="52" t="inlineStr">
        <is>
          <t>Amazon</t>
        </is>
      </c>
    </row>
    <row r="35">
      <c r="A35" s="48" t="inlineStr">
        <is>
          <t>Mount - SDI</t>
        </is>
      </c>
      <c r="B35" s="54" t="n"/>
      <c r="C35" s="55" t="n"/>
    </row>
    <row r="36">
      <c r="A36" s="50" t="inlineStr">
        <is>
          <t>SDI Panel mount coupler</t>
        </is>
      </c>
      <c r="B36" s="51" t="n">
        <v>1</v>
      </c>
      <c r="C36" s="52" t="inlineStr">
        <is>
          <t>Amazon</t>
        </is>
      </c>
    </row>
    <row r="37">
      <c r="A37" s="50" t="inlineStr">
        <is>
          <t>HD-SDI Cable - 1m</t>
        </is>
      </c>
      <c r="B37" s="51" t="n">
        <v>1</v>
      </c>
      <c r="C37" s="52" t="inlineStr">
        <is>
          <t>Amazon</t>
        </is>
      </c>
    </row>
    <row r="38">
      <c r="A38" s="48" t="inlineStr">
        <is>
          <t>Mount - BMD Converter</t>
        </is>
      </c>
      <c r="B38" s="54" t="n"/>
      <c r="C38" s="55" t="n"/>
    </row>
    <row r="39">
      <c r="A39" s="50" t="inlineStr">
        <is>
          <t>Blackmagic Design Bi-Directional SDI/HDMI 3G</t>
        </is>
      </c>
      <c r="B39" s="51" t="n">
        <v>1</v>
      </c>
      <c r="C39" s="52" t="inlineStr">
        <is>
          <t>Thomann</t>
        </is>
      </c>
    </row>
    <row r="40">
      <c r="A40" s="50" t="inlineStr">
        <is>
          <t>SDI Panel mount coupler</t>
        </is>
      </c>
      <c r="B40" s="51" t="n">
        <v>2</v>
      </c>
      <c r="C40" s="52" t="inlineStr">
        <is>
          <t>Amazon</t>
        </is>
      </c>
    </row>
    <row r="41">
      <c r="A41" s="50" t="inlineStr">
        <is>
          <t>HD-SDI Cable - 1m, Right angle</t>
        </is>
      </c>
      <c r="B41" s="51" t="n">
        <v>2</v>
      </c>
      <c r="C41" s="52" t="inlineStr">
        <is>
          <t>Amazon</t>
        </is>
      </c>
    </row>
    <row r="42">
      <c r="A42" s="50" t="inlineStr">
        <is>
          <t>USB-C Cable - 1 Metre (cut and soldered to JST 2pin)</t>
        </is>
      </c>
      <c r="B42" s="51" t="n">
        <v>1</v>
      </c>
      <c r="C42" s="52" t="inlineStr">
        <is>
          <t>Amazon</t>
        </is>
      </c>
    </row>
    <row r="43">
      <c r="A43" s="48" t="inlineStr">
        <is>
          <t>Slider</t>
        </is>
      </c>
      <c r="B43" s="54" t="n"/>
      <c r="C43" s="55" t="n"/>
    </row>
    <row r="44">
      <c r="A44" s="50" t="inlineStr">
        <is>
          <t>Aluminium Extrusion - 8040 C</t>
        </is>
      </c>
      <c r="B44" s="51" t="inlineStr">
        <is>
          <t>1000 - 3000mm</t>
        </is>
      </c>
      <c r="C44" s="52" t="inlineStr">
        <is>
          <t>Ooznest</t>
        </is>
      </c>
    </row>
    <row r="45">
      <c r="A45" s="50" t="inlineStr">
        <is>
          <t>GT2 Pulley - 36 tooth</t>
        </is>
      </c>
      <c r="B45" s="51" t="n">
        <v>1</v>
      </c>
      <c r="C45" s="52" t="inlineStr">
        <is>
          <t>Amazon</t>
        </is>
      </c>
    </row>
    <row r="46">
      <c r="A46" s="50" t="inlineStr">
        <is>
          <t>GT2 Belt - 5m</t>
        </is>
      </c>
      <c r="B46" s="51" t="n">
        <v>1</v>
      </c>
      <c r="C46" s="52" t="inlineStr">
        <is>
          <t>Amazon</t>
        </is>
      </c>
    </row>
    <row r="47">
      <c r="A47" s="50" t="inlineStr">
        <is>
          <t>Idler - 6mm width, 3mm bore, 13mm diameter</t>
        </is>
      </c>
      <c r="B47" s="51" t="n">
        <v>2</v>
      </c>
      <c r="C47" s="52" t="inlineStr">
        <is>
          <t>Amazon</t>
        </is>
      </c>
    </row>
    <row r="48">
      <c r="A48" s="50" t="inlineStr">
        <is>
          <t>Nema14 1.8 deg 65Ncm</t>
        </is>
      </c>
      <c r="B48" s="51" t="n">
        <v>1</v>
      </c>
      <c r="C48" s="52" t="inlineStr">
        <is>
          <t>Amazon</t>
        </is>
      </c>
    </row>
    <row r="49">
      <c r="A49" s="50" t="inlineStr">
        <is>
          <t>V Slot Pulley Wheels 625zz</t>
        </is>
      </c>
      <c r="B49" s="51" t="n">
        <v>16</v>
      </c>
      <c r="C49" s="52" t="inlineStr">
        <is>
          <t>Amazon</t>
        </is>
      </c>
    </row>
    <row r="50">
      <c r="A50" s="50" t="inlineStr">
        <is>
          <t>XT60 Plug Connector Female and Male</t>
        </is>
      </c>
      <c r="B50" s="51" t="n">
        <v>1</v>
      </c>
      <c r="C50" s="52" t="inlineStr">
        <is>
          <t>Amazon</t>
        </is>
      </c>
    </row>
    <row r="51">
      <c r="A51" s="50" t="inlineStr">
        <is>
          <t>GX12 2 Pin Aviation Connector &amp; Panel Socket</t>
        </is>
      </c>
      <c r="B51" s="51" t="n">
        <v>1</v>
      </c>
      <c r="C51" s="52" t="inlineStr">
        <is>
          <t>Amazon</t>
        </is>
      </c>
    </row>
    <row r="52">
      <c r="A52" s="50" t="inlineStr">
        <is>
          <t>GX12 4 Pin Aviation Connector &amp; Panel Socket</t>
        </is>
      </c>
      <c r="B52" s="51" t="n">
        <v>1</v>
      </c>
      <c r="C52" s="52" t="inlineStr">
        <is>
          <t>Amazon</t>
        </is>
      </c>
    </row>
    <row r="53">
      <c r="A53" s="50" t="inlineStr">
        <is>
          <t>1/4 UNC Insert</t>
        </is>
      </c>
      <c r="B53" s="51" t="n">
        <v>4</v>
      </c>
      <c r="C53" s="52" t="inlineStr">
        <is>
          <t>Amazon</t>
        </is>
      </c>
    </row>
    <row r="54">
      <c r="A54" s="50" t="inlineStr">
        <is>
          <t>1/4 UNC x 1½"</t>
        </is>
      </c>
      <c r="B54" s="51" t="n">
        <v>2</v>
      </c>
      <c r="C54" s="53" t="inlineStr">
        <is>
          <t>—</t>
        </is>
      </c>
    </row>
    <row r="55">
      <c r="A55" s="48" t="inlineStr">
        <is>
          <t>Slider - HDMI</t>
        </is>
      </c>
      <c r="B55" s="54" t="n"/>
      <c r="C55" s="55" t="n"/>
    </row>
    <row r="56">
      <c r="A56" s="50" t="inlineStr">
        <is>
          <t>HDMI Keystone coupler</t>
        </is>
      </c>
      <c r="B56" s="51" t="n">
        <v>1</v>
      </c>
      <c r="C56" s="52" t="inlineStr">
        <is>
          <t>Amazon</t>
        </is>
      </c>
    </row>
    <row r="57">
      <c r="A57" s="50" t="inlineStr">
        <is>
          <t>HDMI Cable, 2m - 4m</t>
        </is>
      </c>
      <c r="B57" s="51" t="n">
        <v>1</v>
      </c>
      <c r="C57" s="52" t="inlineStr">
        <is>
          <t>Amazon</t>
        </is>
      </c>
    </row>
    <row r="58">
      <c r="A58" s="48" t="inlineStr">
        <is>
          <t>Slider - SDI</t>
        </is>
      </c>
      <c r="B58" s="54" t="n"/>
      <c r="C58" s="55" t="n"/>
    </row>
    <row r="59">
      <c r="A59" s="50" t="inlineStr">
        <is>
          <t>SDI Panel mount coupler</t>
        </is>
      </c>
      <c r="B59" s="51" t="n">
        <v>1</v>
      </c>
      <c r="C59" s="52" t="inlineStr">
        <is>
          <t>Amazon</t>
        </is>
      </c>
    </row>
    <row r="60">
      <c r="A60" s="50" t="inlineStr">
        <is>
          <t>HD-SDI Cable, 1m - 4m</t>
        </is>
      </c>
      <c r="B60" s="51" t="n">
        <v>1</v>
      </c>
      <c r="C60" s="52" t="inlineStr">
        <is>
          <t>Amazon</t>
        </is>
      </c>
    </row>
    <row r="61">
      <c r="A61" s="48" t="inlineStr">
        <is>
          <t>Slider - BMD Converter</t>
        </is>
      </c>
      <c r="B61" s="54" t="n"/>
      <c r="C61" s="55" t="n"/>
    </row>
    <row r="62">
      <c r="A62" s="50" t="inlineStr">
        <is>
          <t>SDI Panel mount coupler</t>
        </is>
      </c>
      <c r="B62" s="51" t="n">
        <v>2</v>
      </c>
      <c r="C62" s="52" t="inlineStr">
        <is>
          <t>Amazon</t>
        </is>
      </c>
    </row>
    <row r="63">
      <c r="A63" s="50" t="inlineStr">
        <is>
          <t>HD-SDI Cable, 2m - 4m</t>
        </is>
      </c>
      <c r="B63" s="51" t="n">
        <v>2</v>
      </c>
      <c r="C63" s="52" t="inlineStr">
        <is>
          <t>Amazon</t>
        </is>
      </c>
    </row>
    <row r="64">
      <c r="A64" s="48" t="inlineStr">
        <is>
          <t>Hub</t>
        </is>
      </c>
      <c r="B64" s="54" t="n"/>
      <c r="C64" s="55" t="n"/>
    </row>
    <row r="65">
      <c r="A65" s="50" t="inlineStr">
        <is>
          <t>Seeed Studio XIAO ESP32S3</t>
        </is>
      </c>
      <c r="B65" s="51" t="n">
        <v>1</v>
      </c>
      <c r="C65" s="52" t="inlineStr">
        <is>
          <t>Amazon</t>
        </is>
      </c>
    </row>
    <row r="66">
      <c r="A66" s="48" t="inlineStr">
        <is>
          <t>Hub Display</t>
        </is>
      </c>
      <c r="B66" s="54" t="n"/>
      <c r="C66" s="55" t="n"/>
    </row>
    <row r="67">
      <c r="A67" s="50" t="inlineStr">
        <is>
          <t>Waveshare ESP32-S3 7inch Capacitive Touch LCD</t>
        </is>
      </c>
      <c r="B67" s="51" t="n">
        <v>1</v>
      </c>
      <c r="C67" s="52" t="inlineStr">
        <is>
          <t>Amazon</t>
        </is>
      </c>
    </row>
    <row r="68">
      <c r="A68" s="50" t="inlineStr">
        <is>
          <t>2.4GHz Antenna</t>
        </is>
      </c>
      <c r="B68" s="51" t="n">
        <v>1</v>
      </c>
      <c r="C68" s="52" t="inlineStr">
        <is>
          <t>Amazon</t>
        </is>
      </c>
    </row>
    <row r="69">
      <c r="A69" s="50" t="inlineStr">
        <is>
          <t>U.FL Mini PCI to SMA Female 20cm Lead</t>
        </is>
      </c>
      <c r="B69" s="51" t="n">
        <v>1</v>
      </c>
      <c r="C69" s="52" t="inlineStr">
        <is>
          <t>Amazon</t>
        </is>
      </c>
    </row>
    <row r="70">
      <c r="A70" s="50" t="inlineStr">
        <is>
          <t>USB-C Screw Hole Panel Mount</t>
        </is>
      </c>
      <c r="B70" s="51" t="n">
        <v>1</v>
      </c>
      <c r="C70" s="52" t="inlineStr">
        <is>
          <t>Amazon</t>
        </is>
      </c>
    </row>
    <row r="71">
      <c r="A71" s="48" t="inlineStr">
        <is>
          <t>Misc</t>
        </is>
      </c>
      <c r="B71" s="54" t="n"/>
      <c r="C71" s="55" t="n"/>
    </row>
    <row r="72">
      <c r="A72" s="50" t="inlineStr">
        <is>
          <t>2 Core Wire - 30m, 20awg</t>
        </is>
      </c>
      <c r="B72" s="51" t="n">
        <v>1</v>
      </c>
      <c r="C72" s="52" t="inlineStr">
        <is>
          <t>Amazon</t>
        </is>
      </c>
    </row>
    <row r="73">
      <c r="A73" s="50" t="inlineStr">
        <is>
          <t>4 Core Wire - 10m, 24awg</t>
        </is>
      </c>
      <c r="B73" s="51" t="n">
        <v>1</v>
      </c>
      <c r="C73" s="52" t="inlineStr">
        <is>
          <t>Amazon</t>
        </is>
      </c>
    </row>
    <row r="74">
      <c r="A74" s="48" t="inlineStr">
        <is>
          <t>Optional</t>
        </is>
      </c>
      <c r="B74" s="54" t="n"/>
      <c r="C74" s="55" t="n"/>
    </row>
    <row r="75">
      <c r="A75" s="50" t="inlineStr">
        <is>
          <t>UGREEN Video Capture Card HDMI to USB C 1080P 60FPS Capture (CV Tracking)</t>
        </is>
      </c>
      <c r="B75" s="51" t="n">
        <v>1</v>
      </c>
      <c r="C75" s="52" t="inlineStr">
        <is>
          <t>Amazon</t>
        </is>
      </c>
    </row>
  </sheetData>
  <mergeCells count="13">
    <mergeCell ref="A71:C71"/>
    <mergeCell ref="A66:C66"/>
    <mergeCell ref="A32:C32"/>
    <mergeCell ref="A2:C2"/>
    <mergeCell ref="A61:C61"/>
    <mergeCell ref="A58:C58"/>
    <mergeCell ref="A74:C74"/>
    <mergeCell ref="A55:C55"/>
    <mergeCell ref="A35:C35"/>
    <mergeCell ref="A43:C43"/>
    <mergeCell ref="A38:C38"/>
    <mergeCell ref="A16:C16"/>
    <mergeCell ref="A64:C64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9" r:id="rId33"/>
    <hyperlink xmlns:r="http://schemas.openxmlformats.org/officeDocument/2006/relationships" ref="C40" r:id="rId34"/>
    <hyperlink xmlns:r="http://schemas.openxmlformats.org/officeDocument/2006/relationships" ref="C41" r:id="rId35"/>
    <hyperlink xmlns:r="http://schemas.openxmlformats.org/officeDocument/2006/relationships" ref="C42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6" r:id="rId47"/>
    <hyperlink xmlns:r="http://schemas.openxmlformats.org/officeDocument/2006/relationships" ref="C57" r:id="rId48"/>
    <hyperlink xmlns:r="http://schemas.openxmlformats.org/officeDocument/2006/relationships" ref="C59" r:id="rId49"/>
    <hyperlink xmlns:r="http://schemas.openxmlformats.org/officeDocument/2006/relationships" ref="C60" r:id="rId50"/>
    <hyperlink xmlns:r="http://schemas.openxmlformats.org/officeDocument/2006/relationships" ref="C62" r:id="rId51"/>
    <hyperlink xmlns:r="http://schemas.openxmlformats.org/officeDocument/2006/relationships" ref="C63" r:id="rId52"/>
    <hyperlink xmlns:r="http://schemas.openxmlformats.org/officeDocument/2006/relationships" ref="C65" r:id="rId53"/>
    <hyperlink xmlns:r="http://schemas.openxmlformats.org/officeDocument/2006/relationships" ref="C67" r:id="rId54"/>
    <hyperlink xmlns:r="http://schemas.openxmlformats.org/officeDocument/2006/relationships" ref="C68" r:id="rId55"/>
    <hyperlink xmlns:r="http://schemas.openxmlformats.org/officeDocument/2006/relationships" ref="C69" r:id="rId56"/>
    <hyperlink xmlns:r="http://schemas.openxmlformats.org/officeDocument/2006/relationships" ref="C70" r:id="rId57"/>
    <hyperlink xmlns:r="http://schemas.openxmlformats.org/officeDocument/2006/relationships" ref="C72" r:id="rId58"/>
    <hyperlink xmlns:r="http://schemas.openxmlformats.org/officeDocument/2006/relationships" ref="C73" r:id="rId59"/>
    <hyperlink xmlns:r="http://schemas.openxmlformats.org/officeDocument/2006/relationships" ref="C75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N57"/>
  <sheetViews>
    <sheetView showGridLines="0" topLeftCell="T1" workbookViewId="0">
      <pane ySplit="2" topLeftCell="A3" activePane="bottomLeft" state="frozen"/>
      <selection pane="bottomLeft" activeCell="AH20" sqref="AH20"/>
    </sheetView>
  </sheetViews>
  <sheetFormatPr baseColWidth="10" defaultRowHeight="16"/>
  <cols>
    <col width="10.83203125" customWidth="1" style="41" min="1" max="1"/>
    <col width="24.1640625" customWidth="1" style="41" min="2" max="2"/>
    <col width="3.1640625" customWidth="1" style="41" min="3" max="3"/>
    <col width="11.83203125" customWidth="1" style="41" min="4" max="4"/>
    <col width="10.83203125" customWidth="1" style="41" min="5" max="5"/>
    <col width="17.1640625" customWidth="1" style="41" min="6" max="6"/>
    <col width="3.33203125" customWidth="1" style="41" min="7" max="7"/>
    <col width="11.5" customWidth="1" style="41" min="8" max="8"/>
    <col width="10.83203125" customWidth="1" style="41" min="9" max="9"/>
    <col width="15.5" customWidth="1" style="41" min="10" max="10"/>
    <col width="3.5" customWidth="1" style="41" min="11" max="11"/>
    <col width="18" customWidth="1" style="41" min="12" max="12"/>
    <col width="10.83203125" customWidth="1" style="41" min="13" max="13"/>
    <col width="22.33203125" customWidth="1" style="41" min="14" max="14"/>
    <col width="5" customWidth="1" style="41" min="15" max="15"/>
    <col width="16" customWidth="1" style="41" min="16" max="16"/>
    <col width="10.83203125" customWidth="1" style="41" min="17" max="17"/>
    <col width="15.83203125" customWidth="1" style="41" min="18" max="18"/>
    <col width="2.83203125" customWidth="1" style="41" min="19" max="19"/>
    <col width="10.83203125" customWidth="1" style="41" min="20" max="21"/>
    <col width="18.83203125" customWidth="1" style="41" min="22" max="22"/>
    <col width="4" customWidth="1" style="41" min="23" max="23"/>
    <col width="10.83203125" customWidth="1" style="41" min="24" max="25"/>
    <col width="25.6640625" customWidth="1" style="41" min="26" max="26"/>
    <col width="2.6640625" customWidth="1" style="41" min="27" max="27"/>
    <col width="33.1640625" customWidth="1" style="41" min="28" max="28"/>
    <col width="10.83203125" customWidth="1" style="41" min="29" max="29"/>
    <col width="25.1640625" customWidth="1" style="41" min="30" max="30"/>
    <col width="3.5" customWidth="1" style="41" min="31" max="31"/>
    <col width="9.6640625" customWidth="1" style="41" min="32" max="32"/>
    <col width="10.83203125" customWidth="1" style="41" min="33" max="33"/>
    <col width="26.6640625" customWidth="1" style="41" min="34" max="34"/>
    <col width="4.1640625" customWidth="1" style="41" min="35" max="35"/>
    <col width="10.83203125" customWidth="1" style="41" min="36" max="37"/>
    <col width="13.33203125" customWidth="1" style="41" min="38" max="38"/>
    <col width="10.83203125" customWidth="1" style="41" min="39" max="39"/>
    <col width="10.83203125" customWidth="1" style="41" min="40" max="16384"/>
  </cols>
  <sheetData>
    <row r="2">
      <c r="B2" s="18" t="inlineStr">
        <is>
          <t>Base + Topper + Ports</t>
        </is>
      </c>
      <c r="F2" s="18" t="inlineStr">
        <is>
          <t>Inner</t>
        </is>
      </c>
      <c r="J2" s="18" t="inlineStr">
        <is>
          <t>Upper</t>
        </is>
      </c>
      <c r="N2" s="18" t="inlineStr">
        <is>
          <t>Camera Focus + Converter</t>
        </is>
      </c>
      <c r="R2" s="18" t="inlineStr">
        <is>
          <t>Side-Support</t>
        </is>
      </c>
      <c r="V2" s="18" t="inlineStr">
        <is>
          <t>Side-Motor</t>
        </is>
      </c>
      <c r="Z2" s="18" t="inlineStr">
        <is>
          <t>Camera</t>
        </is>
      </c>
      <c r="AD2" s="18" t="inlineStr">
        <is>
          <t>Tripod Mount</t>
        </is>
      </c>
      <c r="AH2" s="18" t="inlineStr">
        <is>
          <t>Comms Mount</t>
        </is>
      </c>
      <c r="AL2" s="18" t="inlineStr">
        <is>
          <t>Hub Display</t>
        </is>
      </c>
    </row>
    <row r="3">
      <c r="B3" s="19" t="inlineStr">
        <is>
          <t>M2.5 Insert</t>
        </is>
      </c>
      <c r="C3" s="20" t="n">
        <v>4</v>
      </c>
      <c r="D3" s="21" t="inlineStr">
        <is>
          <t>Sockets</t>
        </is>
      </c>
      <c r="F3" s="19" t="inlineStr">
        <is>
          <t>M3 Insert</t>
        </is>
      </c>
      <c r="G3" s="20" t="n">
        <v>12</v>
      </c>
      <c r="H3" s="2" t="n"/>
      <c r="J3" s="19" t="inlineStr">
        <is>
          <t>M3 Insert</t>
        </is>
      </c>
      <c r="K3" s="20" t="n">
        <v>4</v>
      </c>
      <c r="L3" s="9" t="n"/>
      <c r="N3" s="19" t="inlineStr">
        <is>
          <t>M3 Insert</t>
        </is>
      </c>
      <c r="O3" s="20" t="n">
        <v>4</v>
      </c>
      <c r="P3" s="9" t="n"/>
      <c r="R3" s="19" t="inlineStr">
        <is>
          <t>M3 x 30</t>
        </is>
      </c>
      <c r="S3" s="20" t="n">
        <v>2</v>
      </c>
      <c r="T3" s="9" t="n"/>
      <c r="V3" s="19" t="inlineStr">
        <is>
          <t>M3 x 16</t>
        </is>
      </c>
      <c r="W3" s="20" t="n">
        <v>4</v>
      </c>
      <c r="X3" s="21" t="inlineStr">
        <is>
          <t>motor</t>
        </is>
      </c>
      <c r="Z3" s="19" t="inlineStr">
        <is>
          <t>M8 x 25</t>
        </is>
      </c>
      <c r="AA3" s="20" t="n">
        <v>1</v>
      </c>
      <c r="AB3" s="9" t="n"/>
      <c r="AD3" s="19" t="inlineStr">
        <is>
          <t>M5 Nyloc Nut</t>
        </is>
      </c>
      <c r="AE3" s="20" t="n">
        <v>4</v>
      </c>
      <c r="AF3" s="2" t="n"/>
      <c r="AH3" s="22" t="inlineStr">
        <is>
          <t>M2 Counter Sunk x 6</t>
        </is>
      </c>
      <c r="AI3" s="23" t="n">
        <v>3</v>
      </c>
      <c r="AJ3" s="12" t="n"/>
      <c r="AL3" s="19" t="inlineStr">
        <is>
          <t>M3 Insert</t>
        </is>
      </c>
      <c r="AM3" s="20" t="n">
        <v>4</v>
      </c>
      <c r="AN3" s="9" t="n"/>
    </row>
    <row r="4">
      <c r="B4" s="24" t="inlineStr">
        <is>
          <t>M3 Insert</t>
        </is>
      </c>
      <c r="C4" s="40" t="n">
        <v>16</v>
      </c>
      <c r="D4" s="10" t="n"/>
      <c r="F4" s="6" t="n"/>
      <c r="H4" s="7" t="n"/>
      <c r="J4" s="6" t="n"/>
      <c r="L4" s="7" t="n"/>
      <c r="N4" s="24" t="inlineStr">
        <is>
          <t>M5 Nyloc Nut</t>
        </is>
      </c>
      <c r="O4" s="40" t="n">
        <v>2</v>
      </c>
      <c r="P4" s="7" t="n"/>
      <c r="R4" s="24" t="inlineStr">
        <is>
          <t>M3 x 45</t>
        </is>
      </c>
      <c r="S4" s="40" t="n">
        <v>1</v>
      </c>
      <c r="T4" s="7" t="n"/>
      <c r="V4" s="24" t="inlineStr">
        <is>
          <t>M3 x 30</t>
        </is>
      </c>
      <c r="W4" s="40" t="n">
        <v>2</v>
      </c>
      <c r="X4" s="7" t="n"/>
      <c r="Z4" s="24" t="inlineStr">
        <is>
          <t>M8 x 45</t>
        </is>
      </c>
      <c r="AA4" s="40" t="n">
        <v>1</v>
      </c>
      <c r="AB4" s="26" t="inlineStr">
        <is>
          <t>Pulley</t>
        </is>
      </c>
      <c r="AD4" s="38" t="inlineStr">
        <is>
          <t>1/4 UNC Insert</t>
        </is>
      </c>
      <c r="AE4" s="40" t="n">
        <v>1</v>
      </c>
      <c r="AF4" s="10" t="n"/>
      <c r="AL4" s="6" t="n"/>
      <c r="AN4" s="7" t="n"/>
    </row>
    <row r="5">
      <c r="B5" s="24" t="inlineStr">
        <is>
          <t>M5 P Nyloc Nut</t>
        </is>
      </c>
      <c r="C5" s="40" t="n">
        <v>4</v>
      </c>
      <c r="D5" s="10" t="n"/>
      <c r="F5" s="27" t="inlineStr">
        <is>
          <t>M3 x 8</t>
        </is>
      </c>
      <c r="G5" s="28" t="n">
        <v>4</v>
      </c>
      <c r="H5" s="11" t="n"/>
      <c r="J5" s="24" t="inlineStr">
        <is>
          <t>M3 x 10</t>
        </is>
      </c>
      <c r="K5" s="40" t="n">
        <v>4</v>
      </c>
      <c r="L5" s="26" t="inlineStr">
        <is>
          <t>motor</t>
        </is>
      </c>
      <c r="N5" s="6" t="n"/>
      <c r="P5" s="7" t="n"/>
      <c r="R5" s="6" t="n"/>
      <c r="T5" s="7" t="n"/>
      <c r="V5" s="24" t="inlineStr">
        <is>
          <t>M3 x 45</t>
        </is>
      </c>
      <c r="W5" s="40" t="n">
        <v>1</v>
      </c>
      <c r="X5" s="7" t="n"/>
      <c r="Z5" s="6" t="n"/>
      <c r="AB5" s="7" t="n"/>
      <c r="AD5" s="6" t="n"/>
      <c r="AF5" s="7" t="n"/>
      <c r="AL5" s="24" t="inlineStr">
        <is>
          <t>M3 x 8</t>
        </is>
      </c>
      <c r="AM5" s="40" t="n">
        <v>4</v>
      </c>
      <c r="AN5" s="7" t="n"/>
    </row>
    <row r="6">
      <c r="B6" s="6" t="n"/>
      <c r="D6" s="7" t="n"/>
      <c r="J6" s="24" t="inlineStr">
        <is>
          <t>M3 x 30</t>
        </is>
      </c>
      <c r="K6" s="40" t="n">
        <v>6</v>
      </c>
      <c r="L6" s="7" t="n"/>
      <c r="N6" s="24" t="inlineStr">
        <is>
          <t>M3 Counter Sunk x 10</t>
        </is>
      </c>
      <c r="O6" s="40" t="n">
        <v>2</v>
      </c>
      <c r="P6" s="7" t="n"/>
      <c r="R6" s="24" t="inlineStr">
        <is>
          <t>M3 Washer</t>
        </is>
      </c>
      <c r="S6" s="40" t="n">
        <v>3</v>
      </c>
      <c r="T6" s="7" t="n"/>
      <c r="V6" s="6" t="n"/>
      <c r="X6" s="7" t="n"/>
      <c r="Z6" s="24" t="inlineStr">
        <is>
          <t>M8 Domed Nut</t>
        </is>
      </c>
      <c r="AA6" s="40" t="n">
        <v>2</v>
      </c>
      <c r="AB6" s="7" t="n"/>
      <c r="AD6" s="24" t="inlineStr">
        <is>
          <t>M5 x 20</t>
        </is>
      </c>
      <c r="AE6" s="40" t="n">
        <v>4</v>
      </c>
      <c r="AF6" s="10" t="n"/>
      <c r="AL6" s="6" t="n"/>
      <c r="AN6" s="7" t="n"/>
    </row>
    <row r="7">
      <c r="B7" s="24" t="inlineStr">
        <is>
          <t>M2.5 x 8 CS</t>
        </is>
      </c>
      <c r="C7" s="40" t="n">
        <v>4</v>
      </c>
      <c r="D7" s="26" t="inlineStr">
        <is>
          <t>Sockets</t>
        </is>
      </c>
      <c r="J7" s="6" t="n"/>
      <c r="L7" s="7" t="n"/>
      <c r="N7" s="24" t="inlineStr">
        <is>
          <t>M3 x 16</t>
        </is>
      </c>
      <c r="O7" s="40" t="n">
        <v>4</v>
      </c>
      <c r="P7" s="7" t="n"/>
      <c r="R7" s="6" t="n"/>
      <c r="T7" s="7" t="n"/>
      <c r="V7" s="24" t="inlineStr">
        <is>
          <t>M3 Washer</t>
        </is>
      </c>
      <c r="W7" s="40" t="n">
        <v>7</v>
      </c>
      <c r="X7" s="7" t="n"/>
      <c r="Z7" s="27" t="inlineStr">
        <is>
          <t>1/4” Camera Thumb Screw</t>
        </is>
      </c>
      <c r="AA7" s="28" t="n">
        <v>1</v>
      </c>
      <c r="AB7" s="8" t="n"/>
      <c r="AD7" s="27" t="inlineStr">
        <is>
          <t>M5 x 30</t>
        </is>
      </c>
      <c r="AE7" s="28" t="n">
        <v>4</v>
      </c>
      <c r="AF7" s="11" t="n"/>
      <c r="AL7" s="27" t="inlineStr">
        <is>
          <t>M3 Washer</t>
        </is>
      </c>
      <c r="AM7" s="28" t="n">
        <v>4</v>
      </c>
      <c r="AN7" s="8" t="n"/>
    </row>
    <row r="8">
      <c r="B8" s="6" t="n"/>
      <c r="D8" s="7" t="n"/>
      <c r="J8" s="27" t="inlineStr">
        <is>
          <t>M3 Washer</t>
        </is>
      </c>
      <c r="K8" s="28" t="n">
        <v>10</v>
      </c>
      <c r="L8" s="8" t="n"/>
      <c r="N8" s="24" t="inlineStr">
        <is>
          <t>M5 x 25</t>
        </is>
      </c>
      <c r="O8" s="40" t="n">
        <v>2</v>
      </c>
      <c r="P8" s="7" t="n"/>
      <c r="R8" s="27" t="inlineStr">
        <is>
          <t>Bearings</t>
        </is>
      </c>
      <c r="S8" s="28" t="n">
        <v>2</v>
      </c>
      <c r="T8" s="8" t="n"/>
      <c r="V8" s="6" t="n"/>
      <c r="X8" s="7" t="n"/>
    </row>
    <row r="9">
      <c r="B9" s="24" t="inlineStr">
        <is>
          <t>M3 Counter Sunk x 10</t>
        </is>
      </c>
      <c r="C9" s="40" t="n">
        <v>4</v>
      </c>
      <c r="D9" s="26" t="inlineStr">
        <is>
          <t>Optional</t>
        </is>
      </c>
      <c r="N9" s="27" t="inlineStr">
        <is>
          <t>M3 Washer</t>
        </is>
      </c>
      <c r="O9" s="28" t="n">
        <v>4</v>
      </c>
      <c r="P9" s="8" t="n"/>
      <c r="V9" s="27" t="inlineStr">
        <is>
          <t>Bearings</t>
        </is>
      </c>
      <c r="W9" s="28" t="n">
        <v>2</v>
      </c>
      <c r="X9" s="8" t="n"/>
    </row>
    <row r="10">
      <c r="B10" s="6" t="n"/>
      <c r="D10" s="7" t="n"/>
    </row>
    <row r="11">
      <c r="B11" s="24" t="inlineStr">
        <is>
          <t>M3 x 12</t>
        </is>
      </c>
      <c r="C11" s="40" t="n">
        <v>8</v>
      </c>
      <c r="D11" s="26" t="inlineStr">
        <is>
          <t>4 Optional</t>
        </is>
      </c>
    </row>
    <row r="12">
      <c r="B12" s="24" t="inlineStr">
        <is>
          <t>M3 x 20</t>
        </is>
      </c>
      <c r="C12" s="40" t="n">
        <v>2</v>
      </c>
      <c r="D12" s="10" t="n"/>
    </row>
    <row r="13">
      <c r="B13" s="24" t="inlineStr">
        <is>
          <t>M3 x 45</t>
        </is>
      </c>
      <c r="C13" s="40" t="n">
        <v>6</v>
      </c>
      <c r="D13" s="10" t="n"/>
    </row>
    <row r="14">
      <c r="B14" s="6" t="n"/>
      <c r="D14" s="7" t="n"/>
    </row>
    <row r="15">
      <c r="B15" s="27" t="inlineStr">
        <is>
          <t>M3 Washer</t>
        </is>
      </c>
      <c r="C15" s="28" t="n">
        <v>8</v>
      </c>
      <c r="D15" s="29" t="inlineStr">
        <is>
          <t>4 Optional</t>
        </is>
      </c>
    </row>
    <row r="20">
      <c r="B20" s="18" t="inlineStr">
        <is>
          <t>Rail End-Comms</t>
        </is>
      </c>
      <c r="F20" s="18" t="inlineStr">
        <is>
          <t>Rail End</t>
        </is>
      </c>
      <c r="J20" s="18" t="inlineStr">
        <is>
          <t>Rail Bottom</t>
        </is>
      </c>
      <c r="N20" s="18" t="inlineStr">
        <is>
          <t>Rail Top</t>
        </is>
      </c>
      <c r="R20" s="18" t="inlineStr">
        <is>
          <t>Rail Side Drag</t>
        </is>
      </c>
      <c r="V20" s="18" t="inlineStr">
        <is>
          <t>Rail Side Motor</t>
        </is>
      </c>
      <c r="Z20" s="18" t="inlineStr">
        <is>
          <t>Rail Drag Arm</t>
        </is>
      </c>
      <c r="AD20" s="18" t="inlineStr">
        <is>
          <t>Rail Drag Clip</t>
        </is>
      </c>
      <c r="AH20" s="37" t="inlineStr">
        <is>
          <t>Slider Tripod Mount</t>
        </is>
      </c>
    </row>
    <row r="21">
      <c r="B21" s="19" t="inlineStr">
        <is>
          <t>M3 Nyloc Nut</t>
        </is>
      </c>
      <c r="C21" s="20" t="n">
        <v>7</v>
      </c>
      <c r="D21" s="2" t="n"/>
      <c r="F21" s="19" t="inlineStr">
        <is>
          <t>1/4 UNC Insert</t>
        </is>
      </c>
      <c r="G21" s="20" t="n">
        <v>1</v>
      </c>
      <c r="H21" s="2" t="n"/>
      <c r="J21" s="19" t="inlineStr">
        <is>
          <t>M5 Nyloc Nut</t>
        </is>
      </c>
      <c r="K21" s="20" t="n">
        <v>6</v>
      </c>
      <c r="L21" s="9" t="n"/>
      <c r="N21" s="19" t="inlineStr">
        <is>
          <t>M5 Nyloc Nut</t>
        </is>
      </c>
      <c r="O21" s="20" t="n">
        <v>6</v>
      </c>
      <c r="P21" s="9" t="n"/>
      <c r="R21" s="19" t="inlineStr">
        <is>
          <t>M5 Nyloc Nut</t>
        </is>
      </c>
      <c r="S21" s="20" t="n">
        <v>6</v>
      </c>
      <c r="T21" s="9" t="n"/>
      <c r="V21" s="19" t="inlineStr">
        <is>
          <t>M5 Nyloc Nut</t>
        </is>
      </c>
      <c r="W21" s="20" t="n">
        <v>4</v>
      </c>
      <c r="X21" s="9" t="n"/>
      <c r="Z21" s="19" t="inlineStr">
        <is>
          <t>M3 Nyloc Nut</t>
        </is>
      </c>
      <c r="AA21" s="20" t="n">
        <v>2</v>
      </c>
      <c r="AB21" s="9" t="n"/>
      <c r="AD21" s="19" t="inlineStr">
        <is>
          <t>M3 Nyloc Nut</t>
        </is>
      </c>
      <c r="AE21" s="20" t="n">
        <v>4</v>
      </c>
      <c r="AF21" s="2" t="n"/>
      <c r="AH21" s="39" t="inlineStr">
        <is>
          <t>1/4 UNC Insert</t>
        </is>
      </c>
      <c r="AI21" s="20" t="n">
        <v>2</v>
      </c>
      <c r="AJ21" s="2" t="n"/>
    </row>
    <row r="22">
      <c r="B22" s="24" t="inlineStr">
        <is>
          <t>M3 Insert</t>
        </is>
      </c>
      <c r="C22" s="40" t="n">
        <v>4</v>
      </c>
      <c r="D22" s="10" t="n"/>
      <c r="F22" s="6" t="n"/>
      <c r="H22" s="7" t="n"/>
      <c r="J22" s="6" t="n"/>
      <c r="L22" s="7" t="n"/>
      <c r="N22" s="6" t="n"/>
      <c r="P22" s="7" t="n"/>
      <c r="R22" s="6" t="n"/>
      <c r="T22" s="7" t="n"/>
      <c r="V22" s="6" t="n"/>
      <c r="X22" s="7" t="n"/>
      <c r="Z22" s="6" t="n"/>
      <c r="AB22" s="7" t="n"/>
      <c r="AD22" s="6" t="n"/>
      <c r="AF22" s="7" t="n"/>
      <c r="AH22" s="6" t="n"/>
      <c r="AJ22" s="7" t="n"/>
    </row>
    <row r="23">
      <c r="B23" s="24" t="inlineStr">
        <is>
          <t>1/4 UNC Insert</t>
        </is>
      </c>
      <c r="C23" s="40" t="n">
        <v>1</v>
      </c>
      <c r="D23" s="10" t="n"/>
      <c r="F23" s="24" t="inlineStr">
        <is>
          <t>M5 x 25</t>
        </is>
      </c>
      <c r="G23" s="40" t="n">
        <v>4</v>
      </c>
      <c r="H23" s="10" t="n"/>
      <c r="J23" s="24" t="inlineStr">
        <is>
          <t>M5 x 35</t>
        </is>
      </c>
      <c r="K23" s="40" t="n">
        <v>2</v>
      </c>
      <c r="L23" s="26" t="inlineStr">
        <is>
          <t>(drag-side)</t>
        </is>
      </c>
      <c r="N23" s="24" t="inlineStr">
        <is>
          <t>M5 x 35</t>
        </is>
      </c>
      <c r="O23" s="40" t="n">
        <v>2</v>
      </c>
      <c r="P23" s="26" t="inlineStr">
        <is>
          <t>(drag-wheels)</t>
        </is>
      </c>
      <c r="R23" s="27" t="inlineStr">
        <is>
          <t>M5 x 20</t>
        </is>
      </c>
      <c r="S23" s="28" t="n">
        <v>2</v>
      </c>
      <c r="T23" s="8" t="n"/>
      <c r="V23" s="24" t="inlineStr">
        <is>
          <t>M3 x 10</t>
        </is>
      </c>
      <c r="W23" s="40" t="n">
        <v>4</v>
      </c>
      <c r="X23" s="7" t="n"/>
      <c r="Z23" s="27" t="inlineStr">
        <is>
          <t>M5 x 20</t>
        </is>
      </c>
      <c r="AA23" s="28" t="n">
        <v>2</v>
      </c>
      <c r="AB23" s="8" t="n"/>
      <c r="AD23" s="24" t="inlineStr">
        <is>
          <t>M3 Counter Sunk x 10</t>
        </is>
      </c>
      <c r="AE23" s="40" t="n">
        <v>4</v>
      </c>
      <c r="AF23" s="10" t="n"/>
      <c r="AH23" s="43" t="inlineStr">
        <is>
          <t>1/4 UNC x 1½"</t>
        </is>
      </c>
      <c r="AI23" s="28" t="n">
        <v>2</v>
      </c>
      <c r="AJ23" s="11" t="n"/>
    </row>
    <row r="24">
      <c r="B24" s="6" t="n"/>
      <c r="D24" s="7" t="n"/>
      <c r="F24" s="24" t="inlineStr">
        <is>
          <t>M5 x 35</t>
        </is>
      </c>
      <c r="G24" s="40" t="n">
        <v>2</v>
      </c>
      <c r="H24" s="10" t="n"/>
      <c r="J24" s="24" t="inlineStr">
        <is>
          <t>M5 x 45</t>
        </is>
      </c>
      <c r="K24" s="40" t="n">
        <v>2</v>
      </c>
      <c r="L24" s="26" t="inlineStr">
        <is>
          <t>(motor-wheels)</t>
        </is>
      </c>
      <c r="N24" s="24" t="inlineStr">
        <is>
          <t>M5 x 45</t>
        </is>
      </c>
      <c r="O24" s="40" t="n">
        <v>2</v>
      </c>
      <c r="P24" s="26" t="inlineStr">
        <is>
          <t>(motor-wheels)</t>
        </is>
      </c>
      <c r="V24" s="27" t="inlineStr">
        <is>
          <t>M3 Washer</t>
        </is>
      </c>
      <c r="W24" s="28" t="n">
        <v>4</v>
      </c>
      <c r="X24" s="8" t="n"/>
      <c r="AD24" s="6" t="n"/>
      <c r="AF24" s="7" t="n"/>
      <c r="AH24" s="41" t="n"/>
      <c r="AI24" s="41" t="n"/>
      <c r="AJ24" s="41" t="n"/>
      <c r="AK24" s="41" t="n"/>
      <c r="AL24" s="41" t="n"/>
    </row>
    <row r="25">
      <c r="B25" s="24" t="inlineStr">
        <is>
          <t>M3 x 16</t>
        </is>
      </c>
      <c r="C25" s="40" t="n">
        <v>2</v>
      </c>
      <c r="D25" s="10" t="n"/>
      <c r="F25" s="6" t="n"/>
      <c r="H25" s="7" t="n"/>
      <c r="J25" s="24" t="inlineStr">
        <is>
          <t>M5 x 55</t>
        </is>
      </c>
      <c r="K25" s="40" t="n">
        <v>2</v>
      </c>
      <c r="L25" s="26" t="inlineStr">
        <is>
          <t>(bottom-wheels)</t>
        </is>
      </c>
      <c r="N25" s="27" t="inlineStr">
        <is>
          <t>M5 x 55</t>
        </is>
      </c>
      <c r="O25" s="28" t="n">
        <v>2</v>
      </c>
      <c r="P25" s="29" t="inlineStr">
        <is>
          <t>(top-wheels)</t>
        </is>
      </c>
      <c r="AD25" s="24" t="inlineStr">
        <is>
          <t>M3 x 20</t>
        </is>
      </c>
      <c r="AE25" s="40" t="n">
        <v>2</v>
      </c>
      <c r="AF25" s="10" t="n"/>
      <c r="AH25" s="40" t="n"/>
      <c r="AI25" s="40" t="n"/>
      <c r="AJ25" s="42" t="n"/>
      <c r="AK25" s="41" t="n"/>
      <c r="AL25" s="41" t="n"/>
    </row>
    <row r="26">
      <c r="B26" s="24" t="inlineStr">
        <is>
          <t>M3 x 25</t>
        </is>
      </c>
      <c r="C26" s="40" t="n">
        <v>1</v>
      </c>
      <c r="D26" s="10" t="n"/>
      <c r="F26" s="27" t="inlineStr">
        <is>
          <t>M5 Washer</t>
        </is>
      </c>
      <c r="G26" s="28" t="n">
        <v>4</v>
      </c>
      <c r="H26" s="11" t="n"/>
      <c r="J26" s="6" t="n"/>
      <c r="L26" s="7" t="n"/>
      <c r="AD26" s="27" t="inlineStr">
        <is>
          <t>M3 Washer</t>
        </is>
      </c>
      <c r="AE26" s="28" t="n">
        <v>2</v>
      </c>
      <c r="AF26" s="11" t="n"/>
      <c r="AH26" s="40" t="n"/>
      <c r="AI26" s="40" t="n"/>
      <c r="AJ26" s="42" t="n"/>
      <c r="AK26" s="41" t="n"/>
      <c r="AL26" s="41" t="n"/>
    </row>
    <row r="27">
      <c r="B27" s="24" t="inlineStr">
        <is>
          <t>M3 Counter Sunk x 10</t>
        </is>
      </c>
      <c r="C27" s="40" t="n">
        <v>4</v>
      </c>
      <c r="D27" s="10" t="n"/>
      <c r="J27" s="24" t="inlineStr">
        <is>
          <t>M3 x 25</t>
        </is>
      </c>
      <c r="K27" s="40" t="n">
        <v>2</v>
      </c>
      <c r="L27" s="26" t="inlineStr">
        <is>
          <t>(optional cover)</t>
        </is>
      </c>
      <c r="AH27" s="41" t="n"/>
      <c r="AI27" s="41" t="n"/>
      <c r="AJ27" s="41" t="n"/>
      <c r="AK27" s="41" t="n"/>
      <c r="AL27" s="41" t="n"/>
    </row>
    <row r="28">
      <c r="B28" s="6" t="n"/>
      <c r="D28" s="7" t="n"/>
      <c r="J28" s="27" t="inlineStr">
        <is>
          <t>M3 Washer</t>
        </is>
      </c>
      <c r="K28" s="28" t="n">
        <v>2</v>
      </c>
      <c r="L28" s="29" t="inlineStr">
        <is>
          <t>(optional cover)</t>
        </is>
      </c>
    </row>
    <row r="29">
      <c r="B29" s="24" t="inlineStr">
        <is>
          <t>M5 x 25</t>
        </is>
      </c>
      <c r="C29" s="40" t="n">
        <v>4</v>
      </c>
      <c r="D29" s="10" t="n"/>
    </row>
    <row r="30">
      <c r="B30" s="6" t="n"/>
      <c r="D30" s="7" t="n"/>
    </row>
    <row r="31">
      <c r="B31" s="24" t="inlineStr">
        <is>
          <t>M3 Washer</t>
        </is>
      </c>
      <c r="C31" s="40" t="n">
        <v>2</v>
      </c>
      <c r="D31" s="10" t="n"/>
    </row>
    <row r="32">
      <c r="B32" s="27" t="inlineStr">
        <is>
          <t>M5 Washer</t>
        </is>
      </c>
      <c r="C32" s="28" t="n">
        <v>4</v>
      </c>
      <c r="D32" s="11" t="n"/>
    </row>
    <row r="33">
      <c r="B33" s="42" t="n"/>
    </row>
    <row r="34">
      <c r="B34" s="42" t="n"/>
      <c r="G34" s="42" t="n"/>
      <c r="H34" s="42" t="n"/>
      <c r="I34" s="42" t="n"/>
      <c r="J34" s="42" t="n"/>
      <c r="K34" s="42" t="n"/>
      <c r="L34" s="42" t="n"/>
    </row>
    <row r="35">
      <c r="B35" s="42" t="n"/>
    </row>
    <row r="36">
      <c r="B36" s="42" t="n"/>
    </row>
    <row r="37">
      <c r="B37" s="42" t="n"/>
    </row>
    <row r="38">
      <c r="B38" s="42" t="n"/>
    </row>
    <row r="39">
      <c r="B39" s="42" t="n"/>
    </row>
    <row r="40">
      <c r="B40" s="42" t="n"/>
    </row>
    <row r="41">
      <c r="B41" s="42" t="n"/>
    </row>
    <row r="42">
      <c r="B42" s="42" t="n"/>
    </row>
    <row r="43">
      <c r="B43" s="42" t="n"/>
    </row>
    <row r="44">
      <c r="B44" s="42" t="n"/>
    </row>
    <row r="45">
      <c r="B45" s="42" t="n"/>
    </row>
    <row r="46">
      <c r="B46" s="42" t="n"/>
    </row>
    <row r="47">
      <c r="B47" s="42" t="n"/>
    </row>
    <row r="48">
      <c r="B48" s="42" t="n"/>
    </row>
    <row r="49">
      <c r="B49" s="42" t="n"/>
    </row>
    <row r="50">
      <c r="B50" s="42" t="n"/>
    </row>
    <row r="51">
      <c r="B51" s="42" t="n"/>
    </row>
    <row r="52">
      <c r="B52" s="42" t="n"/>
    </row>
    <row r="53">
      <c r="B53" s="42" t="n"/>
    </row>
    <row r="54">
      <c r="B54" s="42" t="n"/>
    </row>
    <row r="55">
      <c r="B55" s="42" t="n"/>
    </row>
    <row r="56">
      <c r="B56" s="42" t="n"/>
    </row>
    <row r="57">
      <c r="B57" s="4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35"/>
  <sheetViews>
    <sheetView showGridLines="0" tabSelected="1" zoomScale="92" zoomScaleNormal="92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X20" sqref="X20"/>
    </sheetView>
  </sheetViews>
  <sheetFormatPr baseColWidth="10" defaultRowHeight="16"/>
  <cols>
    <col width="3.33203125" customWidth="1" min="1" max="1"/>
    <col width="22" customWidth="1" min="2" max="2"/>
    <col width="9" customWidth="1" min="3" max="21"/>
    <col width="8" customWidth="1" min="22" max="22"/>
  </cols>
  <sheetData>
    <row r="2" ht="57" customHeight="1">
      <c r="B2" s="30" t="inlineStr">
        <is>
          <t>Fastener</t>
        </is>
      </c>
      <c r="C2" s="30" t="inlineStr">
        <is>
          <t>Base + Topper + Ports</t>
        </is>
      </c>
      <c r="D2" s="30" t="inlineStr">
        <is>
          <t>Inner</t>
        </is>
      </c>
      <c r="E2" s="30" t="inlineStr">
        <is>
          <t>Upper</t>
        </is>
      </c>
      <c r="F2" s="30" t="inlineStr">
        <is>
          <t>Camera Focus + Converter</t>
        </is>
      </c>
      <c r="G2" s="30" t="inlineStr">
        <is>
          <t>Side-Support</t>
        </is>
      </c>
      <c r="H2" s="30" t="inlineStr">
        <is>
          <t>Side-Motor</t>
        </is>
      </c>
      <c r="I2" s="30" t="inlineStr">
        <is>
          <t>Camera</t>
        </is>
      </c>
      <c r="J2" s="30" t="inlineStr">
        <is>
          <t>Tripod Mount</t>
        </is>
      </c>
      <c r="K2" s="30" t="inlineStr">
        <is>
          <t>Comms Mount</t>
        </is>
      </c>
      <c r="L2" s="30" t="inlineStr">
        <is>
          <t>Hub Display</t>
        </is>
      </c>
      <c r="M2" s="30" t="inlineStr">
        <is>
          <t>Rail End-Comms</t>
        </is>
      </c>
      <c r="N2" s="30" t="inlineStr">
        <is>
          <t>Rail End</t>
        </is>
      </c>
      <c r="O2" s="30" t="inlineStr">
        <is>
          <t>Rail Bottom</t>
        </is>
      </c>
      <c r="P2" s="30" t="inlineStr">
        <is>
          <t>Rail Top</t>
        </is>
      </c>
      <c r="Q2" s="30" t="inlineStr">
        <is>
          <t>Rail Side Drag</t>
        </is>
      </c>
      <c r="R2" s="30" t="inlineStr">
        <is>
          <t>Rail Side Motor</t>
        </is>
      </c>
      <c r="S2" s="30" t="inlineStr">
        <is>
          <t>Rail Drag Arm</t>
        </is>
      </c>
      <c r="T2" s="30" t="inlineStr">
        <is>
          <t>Rail Drag Clip</t>
        </is>
      </c>
      <c r="U2" s="44" t="inlineStr">
        <is>
          <t>Slider Tripod Mount</t>
        </is>
      </c>
      <c r="V2" s="30" t="inlineStr">
        <is>
          <t>Total</t>
        </is>
      </c>
    </row>
    <row r="3">
      <c r="B3" s="31" t="inlineStr">
        <is>
          <t>M3 x 8</t>
        </is>
      </c>
      <c r="C3" s="16" t="n"/>
      <c r="D3" s="16" t="n">
        <v>4</v>
      </c>
      <c r="E3" s="16" t="n"/>
      <c r="F3" s="16" t="n"/>
      <c r="G3" s="16" t="n"/>
      <c r="H3" s="16" t="n"/>
      <c r="I3" s="16" t="n"/>
      <c r="J3" s="16" t="n"/>
      <c r="K3" s="16" t="n"/>
      <c r="L3" s="16" t="n">
        <v>4</v>
      </c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32">
        <f>SUM(C3:U3)</f>
        <v/>
      </c>
    </row>
    <row r="4">
      <c r="B4" s="31" t="inlineStr">
        <is>
          <t>M3 x 10</t>
        </is>
      </c>
      <c r="C4" s="16" t="n"/>
      <c r="D4" s="16" t="n"/>
      <c r="E4" s="16" t="n">
        <v>4</v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>
        <v>4</v>
      </c>
      <c r="S4" s="16" t="n"/>
      <c r="T4" s="16" t="n"/>
      <c r="U4" s="16" t="n"/>
      <c r="V4" s="32">
        <f>SUM(C4:U4)</f>
        <v/>
      </c>
    </row>
    <row r="5">
      <c r="B5" s="31" t="inlineStr">
        <is>
          <t>M3 x 12</t>
        </is>
      </c>
      <c r="C5" s="16" t="n">
        <v>8</v>
      </c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32">
        <f>SUM(C5:U5)</f>
        <v/>
      </c>
    </row>
    <row r="6">
      <c r="B6" s="31" t="inlineStr">
        <is>
          <t>M3 x 16</t>
        </is>
      </c>
      <c r="C6" s="16" t="n"/>
      <c r="D6" s="16" t="n"/>
      <c r="E6" s="16" t="n"/>
      <c r="F6" s="16" t="n">
        <v>4</v>
      </c>
      <c r="G6" s="16" t="n"/>
      <c r="H6" s="16" t="n">
        <v>4</v>
      </c>
      <c r="I6" s="16" t="n"/>
      <c r="J6" s="16" t="n"/>
      <c r="K6" s="16" t="n"/>
      <c r="L6" s="16" t="n"/>
      <c r="M6" s="16" t="n">
        <v>2</v>
      </c>
      <c r="N6" s="16" t="n"/>
      <c r="O6" s="16" t="n"/>
      <c r="P6" s="16" t="n"/>
      <c r="Q6" s="16" t="n"/>
      <c r="R6" s="16" t="n"/>
      <c r="S6" s="16" t="n"/>
      <c r="T6" s="16" t="n"/>
      <c r="U6" s="16" t="n"/>
      <c r="V6" s="32">
        <f>SUM(C6:U6)</f>
        <v/>
      </c>
    </row>
    <row r="7">
      <c r="B7" s="31" t="inlineStr">
        <is>
          <t>M3 x 20</t>
        </is>
      </c>
      <c r="C7" s="16" t="n">
        <v>2</v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>
        <v>2</v>
      </c>
      <c r="U7" s="16" t="n"/>
      <c r="V7" s="32">
        <f>SUM(C7:U7)</f>
        <v/>
      </c>
    </row>
    <row r="8">
      <c r="B8" s="31" t="inlineStr">
        <is>
          <t>M3 x 25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>
        <v>1</v>
      </c>
      <c r="N8" s="16" t="n"/>
      <c r="O8" s="16" t="n">
        <v>2</v>
      </c>
      <c r="P8" s="16" t="n"/>
      <c r="Q8" s="16" t="n"/>
      <c r="R8" s="16" t="n"/>
      <c r="S8" s="16" t="n"/>
      <c r="T8" s="16" t="n"/>
      <c r="U8" s="16" t="n"/>
      <c r="V8" s="32">
        <f>SUM(C8:U8)</f>
        <v/>
      </c>
    </row>
    <row r="9">
      <c r="B9" s="31" t="inlineStr">
        <is>
          <t>M3 x 30</t>
        </is>
      </c>
      <c r="C9" s="16" t="n"/>
      <c r="D9" s="16" t="n"/>
      <c r="E9" s="16" t="n">
        <v>6</v>
      </c>
      <c r="F9" s="16" t="n"/>
      <c r="G9" s="16" t="n">
        <v>2</v>
      </c>
      <c r="H9" s="16" t="n">
        <v>2</v>
      </c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32">
        <f>SUM(C9:U9)</f>
        <v/>
      </c>
    </row>
    <row r="10">
      <c r="B10" s="31" t="inlineStr">
        <is>
          <t>M3 x 45</t>
        </is>
      </c>
      <c r="C10" s="16" t="n">
        <v>6</v>
      </c>
      <c r="D10" s="16" t="n"/>
      <c r="E10" s="16" t="n"/>
      <c r="F10" s="16" t="n"/>
      <c r="G10" s="16" t="n">
        <v>1</v>
      </c>
      <c r="H10" s="16" t="n">
        <v>1</v>
      </c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32">
        <f>SUM(C10:U10)</f>
        <v/>
      </c>
    </row>
    <row r="11"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B12" s="31" t="inlineStr">
        <is>
          <t>M2 Counter Sunk x 6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>
        <v>3</v>
      </c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32">
        <f>SUM(C12:U12)</f>
        <v/>
      </c>
    </row>
    <row r="13">
      <c r="B13" s="31" t="inlineStr">
        <is>
          <t>M3 Counter Sunk x 10</t>
        </is>
      </c>
      <c r="C13" s="16" t="n">
        <v>4</v>
      </c>
      <c r="D13" s="16" t="n"/>
      <c r="E13" s="16" t="n"/>
      <c r="F13" s="16" t="n">
        <v>2</v>
      </c>
      <c r="G13" s="16" t="n"/>
      <c r="H13" s="16" t="n"/>
      <c r="I13" s="16" t="n"/>
      <c r="J13" s="16" t="n"/>
      <c r="K13" s="16" t="n"/>
      <c r="L13" s="16" t="n"/>
      <c r="M13" s="16" t="n">
        <v>4</v>
      </c>
      <c r="N13" s="16" t="n"/>
      <c r="O13" s="16" t="n"/>
      <c r="P13" s="16" t="n"/>
      <c r="Q13" s="16" t="n"/>
      <c r="R13" s="16" t="n"/>
      <c r="S13" s="16" t="n"/>
      <c r="T13" s="16" t="n">
        <v>4</v>
      </c>
      <c r="U13" s="16" t="n"/>
      <c r="V13" s="32">
        <f>SUM(C13:U13)</f>
        <v/>
      </c>
    </row>
    <row r="14"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B15" s="31" t="inlineStr">
        <is>
          <t>M5 x 20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>
        <v>4</v>
      </c>
      <c r="K15" s="16" t="n"/>
      <c r="L15" s="16" t="n"/>
      <c r="M15" s="16" t="n"/>
      <c r="N15" s="16" t="n"/>
      <c r="O15" s="16" t="n"/>
      <c r="P15" s="16" t="n"/>
      <c r="Q15" s="16" t="n">
        <v>2</v>
      </c>
      <c r="R15" s="16" t="n"/>
      <c r="S15" s="16" t="n">
        <v>2</v>
      </c>
      <c r="T15" s="16" t="n"/>
      <c r="U15" s="16" t="n"/>
      <c r="V15" s="32">
        <f>SUM(C15:U15)</f>
        <v/>
      </c>
    </row>
    <row r="16">
      <c r="B16" s="31" t="inlineStr">
        <is>
          <t>M5 x 25</t>
        </is>
      </c>
      <c r="C16" s="16" t="n"/>
      <c r="D16" s="16" t="n"/>
      <c r="E16" s="16" t="n"/>
      <c r="F16" s="16" t="n">
        <v>2</v>
      </c>
      <c r="G16" s="16" t="n"/>
      <c r="H16" s="16" t="n"/>
      <c r="I16" s="16" t="n"/>
      <c r="J16" s="16" t="n"/>
      <c r="K16" s="16" t="n"/>
      <c r="L16" s="16" t="n"/>
      <c r="M16" s="16" t="n">
        <v>4</v>
      </c>
      <c r="N16" s="16" t="n">
        <v>4</v>
      </c>
      <c r="O16" s="16" t="n"/>
      <c r="P16" s="16" t="n"/>
      <c r="Q16" s="16" t="n"/>
      <c r="R16" s="16" t="n"/>
      <c r="S16" s="16" t="n"/>
      <c r="T16" s="16" t="n"/>
      <c r="U16" s="16" t="n"/>
      <c r="V16" s="32">
        <f>SUM(C16:U16)</f>
        <v/>
      </c>
    </row>
    <row r="17">
      <c r="B17" s="31" t="inlineStr">
        <is>
          <t>M5 x 30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>
        <v>4</v>
      </c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32">
        <f>SUM(C17:U17)</f>
        <v/>
      </c>
    </row>
    <row r="18">
      <c r="B18" s="31" t="inlineStr">
        <is>
          <t>M5 x 35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>
        <v>2</v>
      </c>
      <c r="O18" s="16" t="n">
        <v>2</v>
      </c>
      <c r="P18" s="16" t="n">
        <v>2</v>
      </c>
      <c r="Q18" s="16" t="n"/>
      <c r="R18" s="16" t="n"/>
      <c r="S18" s="16" t="n"/>
      <c r="T18" s="16" t="n"/>
      <c r="U18" s="16" t="n"/>
      <c r="V18" s="32">
        <f>SUM(C18:U18)</f>
        <v/>
      </c>
    </row>
    <row r="19">
      <c r="B19" s="31" t="inlineStr">
        <is>
          <t>M5 x 45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>
        <v>2</v>
      </c>
      <c r="P19" s="16" t="n">
        <v>2</v>
      </c>
      <c r="Q19" s="16" t="n"/>
      <c r="R19" s="16" t="n"/>
      <c r="S19" s="16" t="n"/>
      <c r="T19" s="16" t="n"/>
      <c r="U19" s="16" t="n"/>
      <c r="V19" s="32">
        <f>SUM(C19:U19)</f>
        <v/>
      </c>
    </row>
    <row r="20">
      <c r="B20" s="31" t="inlineStr">
        <is>
          <t>M5 x 55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>
        <v>2</v>
      </c>
      <c r="P20" s="16" t="n">
        <v>2</v>
      </c>
      <c r="Q20" s="16" t="n"/>
      <c r="R20" s="16" t="n"/>
      <c r="S20" s="16" t="n"/>
      <c r="T20" s="16" t="n"/>
      <c r="U20" s="16" t="n"/>
      <c r="V20" s="32">
        <f>SUM(C20:U20)</f>
        <v/>
      </c>
    </row>
    <row r="21">
      <c r="B21" s="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B22" s="45" t="inlineStr">
        <is>
          <t>1/4 UNC x 1½"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>
        <v>2</v>
      </c>
      <c r="V22" s="32">
        <f>SUM(C22:U22)</f>
        <v/>
      </c>
    </row>
    <row r="23"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B24" s="31" t="inlineStr">
        <is>
          <t>M8 x 25</t>
        </is>
      </c>
      <c r="C24" s="16" t="n"/>
      <c r="D24" s="16" t="n"/>
      <c r="E24" s="16" t="n"/>
      <c r="F24" s="16" t="n"/>
      <c r="G24" s="16" t="n"/>
      <c r="H24" s="16" t="n"/>
      <c r="I24" s="16" t="n">
        <v>1</v>
      </c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32">
        <f>SUM(C24:U24)</f>
        <v/>
      </c>
    </row>
    <row r="25">
      <c r="B25" s="31" t="inlineStr">
        <is>
          <t>M8 x 45</t>
        </is>
      </c>
      <c r="C25" s="16" t="n"/>
      <c r="D25" s="16" t="n"/>
      <c r="E25" s="16" t="n"/>
      <c r="F25" s="16" t="n"/>
      <c r="G25" s="16" t="n"/>
      <c r="H25" s="16" t="n"/>
      <c r="I25" s="16" t="n">
        <v>1</v>
      </c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32">
        <f>SUM(C25:U25)</f>
        <v/>
      </c>
    </row>
    <row r="26">
      <c r="B26" s="3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B27" s="31" t="inlineStr">
        <is>
          <t>M2.5 Insert</t>
        </is>
      </c>
      <c r="C27" s="16" t="n">
        <v>4</v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32">
        <f>SUM(C27:U27)</f>
        <v/>
      </c>
    </row>
    <row r="28">
      <c r="B28" s="31" t="inlineStr">
        <is>
          <t>M3 Nyloc Nut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>
        <v>7</v>
      </c>
      <c r="N28" s="16" t="n"/>
      <c r="O28" s="16" t="n"/>
      <c r="P28" s="16" t="n"/>
      <c r="Q28" s="16" t="n"/>
      <c r="R28" s="16" t="n"/>
      <c r="S28" s="16" t="n">
        <v>2</v>
      </c>
      <c r="T28" s="16" t="n">
        <v>4</v>
      </c>
      <c r="U28" s="16" t="n"/>
      <c r="V28" s="32">
        <f>SUM(C28:U28)</f>
        <v/>
      </c>
    </row>
    <row r="29">
      <c r="B29" s="31" t="inlineStr">
        <is>
          <t>M3 Insert</t>
        </is>
      </c>
      <c r="C29" s="16" t="n">
        <v>16</v>
      </c>
      <c r="D29" s="16" t="n">
        <v>12</v>
      </c>
      <c r="E29" s="16" t="n">
        <v>4</v>
      </c>
      <c r="F29" s="16" t="n">
        <v>4</v>
      </c>
      <c r="G29" s="16" t="n"/>
      <c r="H29" s="16" t="n"/>
      <c r="I29" s="16" t="n"/>
      <c r="J29" s="16" t="n"/>
      <c r="K29" s="16" t="n"/>
      <c r="L29" s="16" t="n">
        <v>4</v>
      </c>
      <c r="M29" s="16" t="n">
        <v>4</v>
      </c>
      <c r="N29" s="16" t="n"/>
      <c r="O29" s="16" t="n"/>
      <c r="P29" s="16" t="n"/>
      <c r="Q29" s="16" t="n"/>
      <c r="R29" s="16" t="n"/>
      <c r="S29" s="16" t="n"/>
      <c r="T29" s="16" t="n"/>
      <c r="U29" s="16" t="n"/>
      <c r="V29" s="32">
        <f>SUM(C29:U29)</f>
        <v/>
      </c>
    </row>
    <row r="30">
      <c r="B30" s="31" t="inlineStr">
        <is>
          <t>M5 Nyloc Nut</t>
        </is>
      </c>
      <c r="C30" s="16" t="n"/>
      <c r="D30" s="16" t="n"/>
      <c r="E30" s="16" t="n"/>
      <c r="F30" s="16" t="n">
        <v>2</v>
      </c>
      <c r="G30" s="16" t="n"/>
      <c r="H30" s="16" t="n"/>
      <c r="I30" s="16" t="n"/>
      <c r="J30" s="16" t="n">
        <v>4</v>
      </c>
      <c r="K30" s="16" t="n"/>
      <c r="L30" s="16" t="n"/>
      <c r="M30" s="16" t="n"/>
      <c r="N30" s="16" t="n"/>
      <c r="O30" s="16" t="n">
        <v>6</v>
      </c>
      <c r="P30" s="16" t="n">
        <v>6</v>
      </c>
      <c r="Q30" s="16" t="n">
        <v>6</v>
      </c>
      <c r="R30" s="16" t="n">
        <v>4</v>
      </c>
      <c r="S30" s="16" t="n"/>
      <c r="T30" s="16" t="n"/>
      <c r="U30" s="16" t="n"/>
      <c r="V30" s="32">
        <f>SUM(C30:U30)</f>
        <v/>
      </c>
    </row>
    <row r="31">
      <c r="B31" s="31" t="inlineStr">
        <is>
          <t>M8 Domed Nut</t>
        </is>
      </c>
      <c r="C31" s="16" t="n"/>
      <c r="D31" s="16" t="n"/>
      <c r="E31" s="16" t="n"/>
      <c r="F31" s="16" t="n"/>
      <c r="G31" s="16" t="n"/>
      <c r="H31" s="16" t="n"/>
      <c r="I31" s="16" t="n">
        <v>2</v>
      </c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32">
        <f>SUM(C31:U31)</f>
        <v/>
      </c>
    </row>
    <row r="32">
      <c r="B32" s="31" t="inlineStr">
        <is>
          <t>1/4 UNC Insert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>
        <v>1</v>
      </c>
      <c r="K32" s="16" t="n"/>
      <c r="L32" s="16" t="n"/>
      <c r="M32" s="16" t="n">
        <v>1</v>
      </c>
      <c r="N32" s="16" t="n">
        <v>1</v>
      </c>
      <c r="O32" s="16" t="n"/>
      <c r="P32" s="16" t="n"/>
      <c r="Q32" s="16" t="n"/>
      <c r="R32" s="16" t="n"/>
      <c r="S32" s="16" t="n"/>
      <c r="T32" s="16" t="n"/>
      <c r="U32" s="16" t="n">
        <v>2</v>
      </c>
      <c r="V32" s="32">
        <f>SUM(C32:U32)</f>
        <v/>
      </c>
    </row>
    <row r="33"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B34" s="31" t="inlineStr">
        <is>
          <t>M3 Washer</t>
        </is>
      </c>
      <c r="C34" s="16" t="n">
        <v>8</v>
      </c>
      <c r="D34" s="16" t="n"/>
      <c r="E34" s="16" t="n">
        <v>10</v>
      </c>
      <c r="F34" s="16" t="n"/>
      <c r="G34" s="16" t="n">
        <v>3</v>
      </c>
      <c r="H34" s="16" t="n">
        <v>7</v>
      </c>
      <c r="I34" s="16" t="n"/>
      <c r="J34" s="16" t="n"/>
      <c r="K34" s="16" t="n"/>
      <c r="L34" s="16" t="n">
        <v>4</v>
      </c>
      <c r="M34" s="16" t="n">
        <v>2</v>
      </c>
      <c r="N34" s="16" t="n"/>
      <c r="O34" s="16" t="n">
        <v>2</v>
      </c>
      <c r="P34" s="16" t="n"/>
      <c r="Q34" s="16" t="n"/>
      <c r="R34" s="16" t="n">
        <v>4</v>
      </c>
      <c r="S34" s="16" t="n"/>
      <c r="T34" s="16" t="n">
        <v>2</v>
      </c>
      <c r="U34" s="16" t="n"/>
      <c r="V34" s="32">
        <f>SUM(C34:U34)</f>
        <v/>
      </c>
    </row>
    <row r="35">
      <c r="B35" s="31" t="inlineStr">
        <is>
          <t>M5 Washer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>
        <v>4</v>
      </c>
      <c r="N35" s="16" t="n"/>
      <c r="O35" s="16" t="n"/>
      <c r="P35" s="16" t="n"/>
      <c r="Q35" s="16" t="n"/>
      <c r="R35" s="16" t="n"/>
      <c r="S35" s="16" t="n"/>
      <c r="T35" s="16" t="n"/>
      <c r="U35" s="16" t="n"/>
      <c r="V35" s="32">
        <f>SUM(C35:U35)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Colin Bradburne</dc:creator>
  <dcterms:created xsi:type="dcterms:W3CDTF">2025-04-06T17:27:24Z</dcterms:created>
  <dcterms:modified xsi:type="dcterms:W3CDTF">2026-07-26T21:45:05Z</dcterms:modified>
  <cp:lastModifiedBy>Colin Bradburne</cp:lastModifiedBy>
</cp:coreProperties>
</file>